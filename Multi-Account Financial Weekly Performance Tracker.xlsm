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BONGA\Desktop\WEEK\"/>
    </mc:Choice>
  </mc:AlternateContent>
  <xr:revisionPtr revIDLastSave="0" documentId="13_ncr:1_{A48FB99D-49F1-4BF1-BBD4-903E06C0ABA2}" xr6:coauthVersionLast="47" xr6:coauthVersionMax="47" xr10:uidLastSave="{00000000-0000-0000-0000-000000000000}"/>
  <bookViews>
    <workbookView xWindow="-120" yWindow="-120" windowWidth="20730" windowHeight="11160" tabRatio="664" xr2:uid="{00000000-000D-0000-FFFF-FFFF00000000}"/>
  </bookViews>
  <sheets>
    <sheet name="DASHBOARD" sheetId="2" r:id="rId1"/>
    <sheet name="DATA ENTRY" sheetId="1" r:id="rId2"/>
    <sheet name="Sheet1" sheetId="7" state="veryHidden" r:id="rId3"/>
    <sheet name="DATA" sheetId="4" r:id="rId4"/>
    <sheet name="Sheet2" sheetId="6" state="veryHidden" r:id="rId5"/>
    <sheet name="Sheet4" sheetId="9" state="veryHidden" r:id="rId6"/>
    <sheet name="Sheet5" sheetId="10" state="veryHidden" r:id="rId7"/>
    <sheet name="Sheet6" sheetId="13" state="veryHidden" r:id="rId8"/>
    <sheet name="Sheet3" sheetId="14" state="veryHidden" r:id="rId9"/>
    <sheet name="ACCOUNTS" sheetId="3" r:id="rId10"/>
    <sheet name="Sheet7" sheetId="15" state="veryHidden" r:id="rId11"/>
    <sheet name="Sheet8" sheetId="16" state="veryHidden" r:id="rId12"/>
    <sheet name="SUMMARY" sheetId="12" r:id="rId13"/>
  </sheets>
  <definedNames>
    <definedName name="ACCNUMBER">Table2[ACCOUNT NUMBER]</definedName>
    <definedName name="account_name">'DATA ENTRY'!$C$15</definedName>
    <definedName name="account_number">'DATA ENTRY'!$C$11</definedName>
    <definedName name="account_profit">'DATA ENTRY'!$G$11</definedName>
    <definedName name="ACCOUNTS">Table2[]</definedName>
    <definedName name="broker">'DATA ENTRY'!$C$13</definedName>
    <definedName name="data_accname">DATA!$E$1</definedName>
    <definedName name="data_accnumber">DATA!$C$1</definedName>
    <definedName name="data_broker">DATA!$D$1</definedName>
    <definedName name="data_date">DATA!$A$1</definedName>
    <definedName name="data_profit">DATA!$F$1</definedName>
    <definedName name="data_weekrange">DATA!$B$1</definedName>
    <definedName name="today">'DATA ENTRY'!$C$8</definedName>
    <definedName name="week_range">'DATA ENTRY'!$F$8</definedName>
  </definedNames>
  <calcPr calcId="191029" refMode="R1C1"/>
  <pivotCaches>
    <pivotCache cacheId="1" r:id="rId1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2" i="4" l="1"/>
  <c r="G3" i="4"/>
  <c r="G4" i="4"/>
  <c r="G5" i="4"/>
  <c r="C8" i="1"/>
  <c r="J23" i="1" s="1"/>
  <c r="C13" i="1"/>
  <c r="C15" i="1"/>
  <c r="D7" i="2"/>
  <c r="F8" i="1" l="1"/>
</calcChain>
</file>

<file path=xl/sharedStrings.xml><?xml version="1.0" encoding="utf-8"?>
<sst xmlns="http://schemas.openxmlformats.org/spreadsheetml/2006/main" count="673" uniqueCount="48">
  <si>
    <t>DATE</t>
  </si>
  <si>
    <t>EXNESS</t>
  </si>
  <si>
    <t>PERSONAL</t>
  </si>
  <si>
    <t>EXPRESSFUNDED</t>
  </si>
  <si>
    <t>PHASE 1</t>
  </si>
  <si>
    <t>TENTRADE</t>
  </si>
  <si>
    <t>FUNDED</t>
  </si>
  <si>
    <t>CENTBOT</t>
  </si>
  <si>
    <t>BROKER</t>
  </si>
  <si>
    <t>ACCOUNT NUMBER</t>
  </si>
  <si>
    <t>ACCOUNT NAME</t>
  </si>
  <si>
    <t>WEEK RANGE</t>
  </si>
  <si>
    <t>PROFIT AMOUNT(USD)</t>
  </si>
  <si>
    <t>WINDBROKERS</t>
  </si>
  <si>
    <t>HRM</t>
  </si>
  <si>
    <t>HFM</t>
  </si>
  <si>
    <t>FUNDEDNEXT</t>
  </si>
  <si>
    <t>FUTURE</t>
  </si>
  <si>
    <t>PERSONAL 2</t>
  </si>
  <si>
    <t>PHASE 2</t>
  </si>
  <si>
    <t>11.Jan.2025 - 18.Jan.2025</t>
  </si>
  <si>
    <t>04.Jan.2025 - 11.Jan.2025</t>
  </si>
  <si>
    <t>PERSONAL3</t>
  </si>
  <si>
    <t>28.Dec.2024 - 04.Jan.2025</t>
  </si>
  <si>
    <t>14.Dec.2024 - 21.Dec.2024</t>
  </si>
  <si>
    <t>25.Jan.2025 - 01.Feb.2025</t>
  </si>
  <si>
    <t>Grand Total</t>
  </si>
  <si>
    <t>MONTHS</t>
  </si>
  <si>
    <t>TOTAL GAIN</t>
  </si>
  <si>
    <t>TOTAL PROFIT BY MONTH</t>
  </si>
  <si>
    <t>MONTH</t>
  </si>
  <si>
    <t>WeekNum</t>
  </si>
  <si>
    <t>12.Feb.2025 - 19.Feb.2025</t>
  </si>
  <si>
    <t>Date</t>
  </si>
  <si>
    <t>Week Range</t>
  </si>
  <si>
    <t>Account Number</t>
  </si>
  <si>
    <t>Broker</t>
  </si>
  <si>
    <t>Account Name</t>
  </si>
  <si>
    <t>Profit Amount (USD)</t>
  </si>
  <si>
    <t>Weekly Total:</t>
  </si>
  <si>
    <t>Week 3</t>
  </si>
  <si>
    <t>Week 8</t>
  </si>
  <si>
    <t>13.Feb.2025 - 20.Feb.2025</t>
  </si>
  <si>
    <t>19.Mar.2025 - 26.Mar.2025</t>
  </si>
  <si>
    <t>Week 13</t>
  </si>
  <si>
    <t>Jan</t>
  </si>
  <si>
    <t>Feb</t>
  </si>
  <si>
    <t>Mar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</si>
</sst>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dd\.mmm\.yyyy"/>
    <numFmt numFmtId="165" formatCode="_([$$-409]* #,##0.00_);_([$$-409]* \(#,##0.00\);_([$$-409]* &quot;-&quot;??_);_(@_)"/>
    <numFmt numFmtId="166" formatCode="mm/dd/yyyy"/>
    <numFmt numFmtId="167" formatCode="&quot;$&quot;#,##0.00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22"/>
        <bgColor indexed="64"/>
      </patternFill>
    </fill>
  </fills>
  <borders count="6">
    <border>
      <left/>
      <right/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medium">
        <color theme="9"/>
      </bottom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</borders>
  <cellStyleXfs count="2">
    <xf numFmtId="0" fontId="0" fillId="0" borderId="0"/>
    <xf numFmtId="44" fontId="5" fillId="0" borderId="0" applyFont="0" applyFill="0" applyBorder="0" applyAlignment="0" applyProtection="0"/>
  </cellStyleXfs>
  <cellXfs count="3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/>
    <xf numFmtId="0" fontId="4" fillId="0" borderId="0" xfId="0" applyFont="1"/>
    <xf numFmtId="0" fontId="7" fillId="0" borderId="1" xfId="0" applyFont="1" applyBorder="1"/>
    <xf numFmtId="0" fontId="0" fillId="3" borderId="2" xfId="0" applyFill="1" applyBorder="1"/>
    <xf numFmtId="0" fontId="0" fillId="0" borderId="2" xfId="0" applyBorder="1"/>
    <xf numFmtId="0" fontId="0" fillId="0" borderId="0" xfId="0" pivotButton="1"/>
    <xf numFmtId="0" fontId="0" fillId="0" borderId="0" xfId="0" applyAlignment="1">
      <alignment horizontal="left"/>
    </xf>
    <xf numFmtId="14" fontId="0" fillId="3" borderId="2" xfId="0" applyNumberFormat="1" applyFill="1" applyBorder="1"/>
    <xf numFmtId="14" fontId="0" fillId="0" borderId="2" xfId="0" applyNumberFormat="1" applyBorder="1"/>
    <xf numFmtId="0" fontId="0" fillId="3" borderId="2" xfId="0" quotePrefix="1" applyFill="1" applyBorder="1"/>
    <xf numFmtId="0" fontId="7" fillId="0" borderId="0" xfId="0" applyFont="1"/>
    <xf numFmtId="0" fontId="0" fillId="0" borderId="0" xfId="0" pivotButton="1" applyAlignment="1">
      <alignment horizontal="center" vertical="center"/>
    </xf>
    <xf numFmtId="0" fontId="7" fillId="6" borderId="3" xfId="0" applyFont="1" applyFill="1" applyBorder="1"/>
    <xf numFmtId="0" fontId="0" fillId="0" borderId="3" xfId="0" applyBorder="1"/>
    <xf numFmtId="166" fontId="0" fillId="0" borderId="3" xfId="0" applyNumberFormat="1" applyBorder="1"/>
    <xf numFmtId="167" fontId="0" fillId="0" borderId="3" xfId="0" applyNumberFormat="1" applyBorder="1"/>
    <xf numFmtId="167" fontId="7" fillId="6" borderId="3" xfId="0" applyNumberFormat="1" applyFont="1" applyFill="1" applyBorder="1"/>
    <xf numFmtId="0" fontId="7" fillId="6" borderId="5" xfId="0" applyFont="1" applyFill="1" applyBorder="1"/>
    <xf numFmtId="167" fontId="7" fillId="6" borderId="5" xfId="0" applyNumberFormat="1" applyFont="1" applyFill="1" applyBorder="1"/>
    <xf numFmtId="44" fontId="8" fillId="5" borderId="0" xfId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64" fontId="2" fillId="0" borderId="0" xfId="0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3" fillId="2" borderId="0" xfId="0" applyFont="1" applyFill="1" applyAlignment="1">
      <alignment horizontal="center" vertical="center"/>
    </xf>
    <xf numFmtId="165" fontId="3" fillId="2" borderId="0" xfId="0" applyNumberFormat="1" applyFont="1" applyFill="1" applyAlignment="1">
      <alignment horizontal="center" vertical="center"/>
    </xf>
    <xf numFmtId="0" fontId="1" fillId="0" borderId="3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/>
    </xf>
  </cellXfs>
  <cellStyles count="2">
    <cellStyle name="Currency" xfId="1" builtinId="4"/>
    <cellStyle name="Normal" xfId="0" builtinId="0"/>
  </cellStyles>
  <dxfs count="51"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19" formatCode="m/d/yyyy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pivotSource>
    <c:name>[Multi-Account Financial Weekly Performance Tracker.xlsm]DATA!PivotTable2</c:name>
    <c:fmtId val="2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DATA!$J$1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DATA!$I$2:$I$5</c:f>
              <c:strCache>
                <c:ptCount val="3"/>
                <c:pt idx="0">
                  <c:v>Jan</c:v>
                </c:pt>
                <c:pt idx="1">
                  <c:v>Feb</c:v>
                </c:pt>
                <c:pt idx="2">
                  <c:v>Mar</c:v>
                </c:pt>
              </c:strCache>
            </c:strRef>
          </c:cat>
          <c:val>
            <c:numRef>
              <c:f>DATA!$J$2:$J$5</c:f>
              <c:numCache>
                <c:formatCode>General</c:formatCode>
                <c:ptCount val="3"/>
                <c:pt idx="0">
                  <c:v>45</c:v>
                </c:pt>
                <c:pt idx="1">
                  <c:v>100</c:v>
                </c:pt>
                <c:pt idx="2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B6-49E2-80D5-BE9BEEC5F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28556128"/>
        <c:axId val="328556608"/>
      </c:barChart>
      <c:catAx>
        <c:axId val="3285561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MONTHS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56608"/>
        <c:crosses val="autoZero"/>
        <c:auto val="1"/>
        <c:lblAlgn val="ctr"/>
        <c:lblOffset val="100"/>
        <c:noMultiLvlLbl val="0"/>
      </c:catAx>
      <c:valAx>
        <c:axId val="3285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PROFIT(USD)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8556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12</xdr:col>
      <xdr:colOff>9525</xdr:colOff>
      <xdr:row>6</xdr:row>
      <xdr:rowOff>9525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53EDC1B-93DC-C267-ACE8-C73F473C6762}"/>
            </a:ext>
          </a:extLst>
        </xdr:cNvPr>
        <xdr:cNvSpPr/>
      </xdr:nvSpPr>
      <xdr:spPr>
        <a:xfrm>
          <a:off x="609600" y="190500"/>
          <a:ext cx="7934325" cy="962025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6000" baseline="0"/>
            <a:t>WEEKLY FINANCE 2025</a:t>
          </a:r>
          <a:endParaRPr lang="en-US" sz="6000"/>
        </a:p>
      </xdr:txBody>
    </xdr:sp>
    <xdr:clientData/>
  </xdr:twoCellAnchor>
  <xdr:twoCellAnchor>
    <xdr:from>
      <xdr:col>5</xdr:col>
      <xdr:colOff>285750</xdr:colOff>
      <xdr:row>6</xdr:row>
      <xdr:rowOff>9525</xdr:rowOff>
    </xdr:from>
    <xdr:to>
      <xdr:col>12</xdr:col>
      <xdr:colOff>0</xdr:colOff>
      <xdr:row>20</xdr:row>
      <xdr:rowOff>85725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EBCA245-B877-4D33-8096-428CF0974E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1</xdr:row>
      <xdr:rowOff>0</xdr:rowOff>
    </xdr:from>
    <xdr:to>
      <xdr:col>9</xdr:col>
      <xdr:colOff>0</xdr:colOff>
      <xdr:row>4</xdr:row>
      <xdr:rowOff>180975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A3B3E17-1D99-1DF2-F4D1-D8A8E5567BAA}"/>
            </a:ext>
          </a:extLst>
        </xdr:cNvPr>
        <xdr:cNvSpPr/>
      </xdr:nvSpPr>
      <xdr:spPr>
        <a:xfrm>
          <a:off x="228600" y="190500"/>
          <a:ext cx="4562475" cy="752475"/>
        </a:xfrm>
        <a:prstGeom prst="rect">
          <a:avLst/>
        </a:prstGeom>
        <a:ln>
          <a:noFill/>
        </a:ln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3600"/>
            <a:t>ENTER</a:t>
          </a:r>
          <a:r>
            <a:rPr lang="en-US" sz="3600" baseline="0"/>
            <a:t> WEELY PROFIT</a:t>
          </a:r>
          <a:endParaRPr lang="en-US" sz="1100"/>
        </a:p>
      </xdr:txBody>
    </xdr:sp>
    <xdr:clientData/>
  </xdr:twoCellAnchor>
  <xdr:twoCellAnchor>
    <xdr:from>
      <xdr:col>5</xdr:col>
      <xdr:colOff>0</xdr:colOff>
      <xdr:row>5</xdr:row>
      <xdr:rowOff>9525</xdr:rowOff>
    </xdr:from>
    <xdr:to>
      <xdr:col>9</xdr:col>
      <xdr:colOff>0</xdr:colOff>
      <xdr:row>7</xdr:row>
      <xdr:rowOff>19050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DB9AD1E9-2721-E0C6-A9B0-B0796D360770}"/>
            </a:ext>
          </a:extLst>
        </xdr:cNvPr>
        <xdr:cNvSpPr/>
      </xdr:nvSpPr>
      <xdr:spPr>
        <a:xfrm>
          <a:off x="2352675" y="847725"/>
          <a:ext cx="2438400" cy="390525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DATE  RANGE</a:t>
          </a:r>
        </a:p>
      </xdr:txBody>
    </xdr:sp>
    <xdr:clientData/>
  </xdr:twoCellAnchor>
  <xdr:twoCellAnchor>
    <xdr:from>
      <xdr:col>1</xdr:col>
      <xdr:colOff>228600</xdr:colOff>
      <xdr:row>5</xdr:row>
      <xdr:rowOff>9525</xdr:rowOff>
    </xdr:from>
    <xdr:to>
      <xdr:col>4</xdr:col>
      <xdr:colOff>0</xdr:colOff>
      <xdr:row>7</xdr:row>
      <xdr:rowOff>9526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F7BDBE8A-E5DC-AA7E-2938-7DCFB07D0A75}"/>
            </a:ext>
          </a:extLst>
        </xdr:cNvPr>
        <xdr:cNvSpPr/>
      </xdr:nvSpPr>
      <xdr:spPr>
        <a:xfrm>
          <a:off x="228600" y="962025"/>
          <a:ext cx="1352550" cy="381001"/>
        </a:xfrm>
        <a:prstGeom prst="rect">
          <a:avLst/>
        </a:prstGeom>
        <a:ln>
          <a:noFill/>
        </a:ln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/>
            <a:t>DATE</a:t>
          </a:r>
        </a:p>
      </xdr:txBody>
    </xdr:sp>
    <xdr:clientData/>
  </xdr:twoCellAnchor>
  <xdr:twoCellAnchor>
    <xdr:from>
      <xdr:col>1</xdr:col>
      <xdr:colOff>228600</xdr:colOff>
      <xdr:row>7</xdr:row>
      <xdr:rowOff>295274</xdr:rowOff>
    </xdr:from>
    <xdr:to>
      <xdr:col>4</xdr:col>
      <xdr:colOff>19050</xdr:colOff>
      <xdr:row>10</xdr:row>
      <xdr:rowOff>28574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E92E9595-D477-889C-E8FA-5A0ABDB8B31B}"/>
            </a:ext>
          </a:extLst>
        </xdr:cNvPr>
        <xdr:cNvSpPr/>
      </xdr:nvSpPr>
      <xdr:spPr>
        <a:xfrm>
          <a:off x="228600" y="1628774"/>
          <a:ext cx="1371600" cy="409575"/>
        </a:xfrm>
        <a:prstGeom prst="rect">
          <a:avLst/>
        </a:prstGeom>
        <a:ln/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ACCOUNT NUMBER</a:t>
          </a:r>
        </a:p>
      </xdr:txBody>
    </xdr:sp>
    <xdr:clientData/>
  </xdr:twoCellAnchor>
  <xdr:twoCellAnchor>
    <xdr:from>
      <xdr:col>5</xdr:col>
      <xdr:colOff>600075</xdr:colOff>
      <xdr:row>8</xdr:row>
      <xdr:rowOff>9524</xdr:rowOff>
    </xdr:from>
    <xdr:to>
      <xdr:col>9</xdr:col>
      <xdr:colOff>9525</xdr:colOff>
      <xdr:row>10</xdr:row>
      <xdr:rowOff>19049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D34A9402-3DE9-4950-849D-E5DAF731B733}"/>
            </a:ext>
          </a:extLst>
        </xdr:cNvPr>
        <xdr:cNvSpPr/>
      </xdr:nvSpPr>
      <xdr:spPr>
        <a:xfrm>
          <a:off x="2952750" y="1733549"/>
          <a:ext cx="1847850" cy="390525"/>
        </a:xfrm>
        <a:prstGeom prst="rect">
          <a:avLst/>
        </a:prstGeom>
      </xdr:spPr>
      <xdr:style>
        <a:lnRef idx="3">
          <a:schemeClr val="lt1"/>
        </a:lnRef>
        <a:fillRef idx="1">
          <a:schemeClr val="accent6"/>
        </a:fillRef>
        <a:effectRef idx="1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PROFIT</a:t>
          </a:r>
          <a:r>
            <a:rPr lang="en-US" sz="1100" baseline="0"/>
            <a:t> AMOUNT(USD)</a:t>
          </a:r>
          <a:endParaRPr lang="en-US" sz="1100"/>
        </a:p>
      </xdr:txBody>
    </xdr:sp>
    <xdr:clientData/>
  </xdr:twoCellAnchor>
  <xdr:twoCellAnchor>
    <xdr:from>
      <xdr:col>7</xdr:col>
      <xdr:colOff>9525</xdr:colOff>
      <xdr:row>13</xdr:row>
      <xdr:rowOff>0</xdr:rowOff>
    </xdr:from>
    <xdr:to>
      <xdr:col>9</xdr:col>
      <xdr:colOff>0</xdr:colOff>
      <xdr:row>15</xdr:row>
      <xdr:rowOff>47625</xdr:rowOff>
    </xdr:to>
    <xdr:sp macro="[0]!submit_data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B9B61DDB-D7B0-DDA2-6DE8-65788F387B3A}"/>
            </a:ext>
          </a:extLst>
        </xdr:cNvPr>
        <xdr:cNvSpPr/>
      </xdr:nvSpPr>
      <xdr:spPr>
        <a:xfrm>
          <a:off x="3581400" y="2676525"/>
          <a:ext cx="1209675" cy="428625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05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1</xdr:row>
      <xdr:rowOff>9525</xdr:rowOff>
    </xdr:from>
    <xdr:to>
      <xdr:col>10</xdr:col>
      <xdr:colOff>0</xdr:colOff>
      <xdr:row>3</xdr:row>
      <xdr:rowOff>9525</xdr:rowOff>
    </xdr:to>
    <xdr:sp macro="[0]!WeeklySummary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FF17488-DB16-B6A8-3908-9A2604187DBC}"/>
            </a:ext>
          </a:extLst>
        </xdr:cNvPr>
        <xdr:cNvSpPr/>
      </xdr:nvSpPr>
      <xdr:spPr>
        <a:xfrm>
          <a:off x="7458075" y="209550"/>
          <a:ext cx="1819275" cy="38100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UPDATE SUMMARY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ONGA" refreshedDate="45686.534585300928" createdVersion="8" refreshedVersion="8" minRefreshableVersion="3" recordCount="4" xr:uid="{2315C6AD-541F-43B0-B2DE-55230D6F74CB}">
  <cacheSource type="worksheet">
    <worksheetSource name="Table1"/>
  </cacheSource>
  <cacheFields count="9">
    <cacheField name="DATE" numFmtId="14">
      <sharedItems containsSemiMixedTypes="0" containsNonDate="0" containsDate="1" containsString="0" minDate="2025-01-18T00:00:00" maxDate="2025-03-27T00:00:00" count="3">
        <d v="2025-01-18T00:00:00"/>
        <d v="2025-02-20T00:00:00"/>
        <d v="2025-03-26T00:00:00"/>
      </sharedItems>
      <fieldGroup par="8"/>
    </cacheField>
    <cacheField name="WEEK RANGE" numFmtId="0">
      <sharedItems/>
    </cacheField>
    <cacheField name="ACCOUNT NUMBER" numFmtId="0">
      <sharedItems containsSemiMixedTypes="0" containsString="0" containsNumber="1" containsInteger="1" minValue="354" maxValue="63553"/>
    </cacheField>
    <cacheField name="BROKER" numFmtId="0">
      <sharedItems/>
    </cacheField>
    <cacheField name="ACCOUNT NAME" numFmtId="0">
      <sharedItems/>
    </cacheField>
    <cacheField name="PROFIT AMOUNT(USD)" numFmtId="0">
      <sharedItems containsSemiMixedTypes="0" containsString="0" containsNumber="1" containsInteger="1" minValue="45" maxValue="50"/>
    </cacheField>
    <cacheField name="MONTHS" numFmtId="0">
      <sharedItems containsBlank="1" count="7">
        <s v="Jan-2025"/>
        <s v="Feb-2025"/>
        <s v="Mar-2025"/>
        <m u="1"/>
        <s v="Dec-2024" u="1"/>
        <s v="Apr-2025" u="1"/>
        <s v="May-2025" u="1"/>
      </sharedItems>
    </cacheField>
    <cacheField name="Days (DATE)" numFmtId="0" databaseField="0">
      <fieldGroup base="0">
        <rangePr groupBy="days" startDate="2025-01-18T00:00:00" endDate="2025-03-27T00:00:00"/>
        <groupItems count="368">
          <s v="&lt;1/18/2025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3/27/2025"/>
        </groupItems>
      </fieldGroup>
    </cacheField>
    <cacheField name="Months (DATE)" numFmtId="0" databaseField="0">
      <fieldGroup base="0">
        <rangePr groupBy="months" startDate="2025-01-18T00:00:00" endDate="2025-03-27T00:00:00"/>
        <groupItems count="14">
          <s v="&lt;1/18/2025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27/2025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">
  <r>
    <x v="0"/>
    <s v="11.Jan.2025 - 18.Jan.2025"/>
    <n v="63553"/>
    <s v="HRM"/>
    <s v="FUTURE"/>
    <n v="45"/>
    <x v="0"/>
  </r>
  <r>
    <x v="1"/>
    <s v="13.Feb.2025 - 20.Feb.2025"/>
    <n v="354"/>
    <s v="FUNDEDNEXT"/>
    <s v="PHASE 2"/>
    <n v="50"/>
    <x v="1"/>
  </r>
  <r>
    <x v="1"/>
    <s v="13.Feb.2025 - 20.Feb.2025"/>
    <n v="354"/>
    <s v="FUNDEDNEXT"/>
    <s v="PHASE 2"/>
    <n v="50"/>
    <x v="1"/>
  </r>
  <r>
    <x v="2"/>
    <s v="19.Mar.2025 - 26.Mar.2025"/>
    <n v="354"/>
    <s v="FUNDEDNEXT"/>
    <s v="PHASE 2"/>
    <n v="5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DC0845-D38E-4B3C-BB4C-571444D0D905}" name="PivotTable5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MONTH">
  <location ref="B12:C16" firstHeaderRow="1" firstDataRow="1" firstDataCol="1"/>
  <pivotFields count="9">
    <pivotField numFmtId="14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 sortType="ascending">
      <items count="8">
        <item m="1" x="5"/>
        <item m="1" x="4"/>
        <item x="1"/>
        <item x="0"/>
        <item x="2"/>
        <item m="1" x="6"/>
        <item m="1" x="3"/>
        <item t="default"/>
      </items>
    </pivotField>
    <pivotField showAll="0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t="default"/>
      </items>
    </pivotField>
    <pivotField axis="axisRow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</pivotFields>
  <rowFields count="1">
    <field x="8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TOTAL PROFIT BY MONTH" fld="5" baseField="6" baseItem="0"/>
  </dataFields>
  <formats count="10">
    <format dxfId="48">
      <pivotArea type="all" dataOnly="0" outline="0" fieldPosition="0"/>
    </format>
    <format dxfId="47">
      <pivotArea outline="0" collapsedLevelsAreSubtotals="1" fieldPosition="0"/>
    </format>
    <format dxfId="46">
      <pivotArea field="6" type="button" dataOnly="0" labelOnly="1" outline="0"/>
    </format>
    <format dxfId="45">
      <pivotArea dataOnly="0" labelOnly="1" grandRow="1" outline="0" fieldPosition="0"/>
    </format>
    <format dxfId="44">
      <pivotArea dataOnly="0" labelOnly="1" outline="0" axis="axisValues" fieldPosition="0"/>
    </format>
    <format dxfId="43">
      <pivotArea type="all" dataOnly="0" outline="0" fieldPosition="0"/>
    </format>
    <format dxfId="42">
      <pivotArea outline="0" collapsedLevelsAreSubtotals="1" fieldPosition="0"/>
    </format>
    <format dxfId="41">
      <pivotArea field="6" type="button" dataOnly="0" labelOnly="1" outline="0"/>
    </format>
    <format dxfId="40">
      <pivotArea dataOnly="0" labelOnly="1" grandRow="1" outline="0" fieldPosition="0"/>
    </format>
    <format dxfId="39">
      <pivotArea dataOnly="0" labelOnly="1" outline="0" axis="axisValues" fieldPosition="0"/>
    </format>
  </format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Medium7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63528-D3CE-4E91-880A-76D6461C18A3}" name="PivotTable2" cacheId="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9" rowHeaderCaption="MONTH">
  <location ref="I1:J5" firstHeaderRow="1" firstDataRow="1" firstDataCol="1"/>
  <pivotFields count="9">
    <pivotField axis="axisRow" numFmtId="14" showAll="0">
      <items count="4">
        <item x="0"/>
        <item x="1"/>
        <item x="2"/>
        <item t="default"/>
      </items>
    </pivotField>
    <pivotField showAll="0"/>
    <pivotField showAll="0"/>
    <pivotField showAll="0"/>
    <pivotField showAll="0"/>
    <pivotField dataField="1" showAll="0"/>
    <pivotField showAll="0" sortType="ascending">
      <items count="8">
        <item m="1" x="5"/>
        <item m="1" x="4"/>
        <item x="1"/>
        <item x="0"/>
        <item x="2"/>
        <item m="1" x="6"/>
        <item m="1" x="3"/>
        <item t="default"/>
      </items>
    </pivotField>
    <pivotField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2">
    <field x="8"/>
    <field x="0"/>
  </rowFields>
  <rowItems count="4">
    <i>
      <x v="1"/>
    </i>
    <i>
      <x v="2"/>
    </i>
    <i>
      <x v="3"/>
    </i>
    <i t="grand">
      <x/>
    </i>
  </rowItems>
  <colItems count="1">
    <i/>
  </colItems>
  <dataFields count="1">
    <dataField name="TOTAL PROFIT BY MONTH" fld="5" baseField="6" baseItem="0"/>
  </dataFields>
  <chartFormats count="1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63B057E-E3A8-48C6-B807-3BBA4D77D8C8}" name="Table1" displayName="Table1" ref="A1:G5" totalsRowShown="0">
  <autoFilter ref="A1:G5" xr:uid="{163B057E-E3A8-48C6-B807-3BBA4D77D8C8}"/>
  <tableColumns count="7">
    <tableColumn id="1" xr3:uid="{43B33EB2-5495-497D-BD79-44B13BA76F0D}" name="DATE" dataDxfId="38"/>
    <tableColumn id="2" xr3:uid="{CBBF1799-0224-4898-80F3-DCB92AE6248C}" name="WEEK RANGE"/>
    <tableColumn id="3" xr3:uid="{F68BF33D-269F-477C-BDAD-623AAA99C97A}" name="ACCOUNT NUMBER"/>
    <tableColumn id="4" xr3:uid="{1F96A6D0-F3CC-4E14-960D-DA5D1D272735}" name="BROKER"/>
    <tableColumn id="5" xr3:uid="{9F0BE76B-68A1-4C38-A3F5-5D65FAE96C19}" name="ACCOUNT NAME"/>
    <tableColumn id="6" xr3:uid="{74A39B13-A037-456B-BBE4-6FF063E4745E}" name="PROFIT AMOUNT(USD)"/>
    <tableColumn id="7" xr3:uid="{7129E866-8D23-4985-BE56-94827356F19B}" name="MONTHS" dataDxfId="37">
      <calculatedColumnFormula>TEXT(Table1[[#This Row],[DATE]],"MMM-YYYY")</calculatedColumnFormula>
    </tableColumn>
  </tableColumns>
  <tableStyleInfo name="TableStyleLight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691154D-7F38-4694-9398-BD515DEE27FC}" name="Table2" displayName="Table2" ref="B2:D13" totalsRowShown="0" headerRowDxfId="36">
  <autoFilter ref="B2:D13" xr:uid="{C691154D-7F38-4694-9398-BD515DEE27FC}"/>
  <tableColumns count="3">
    <tableColumn id="1" xr3:uid="{D3B4FB5D-1AAF-44ED-A562-05D4C6CE89DA}" name="ACCOUNT NUMBER" dataDxfId="35"/>
    <tableColumn id="2" xr3:uid="{8045B8DE-D28E-4337-B83E-C495A99F4971}" name="BROKER"/>
    <tableColumn id="3" xr3:uid="{BC4DFE3C-EAEB-4A14-8208-A5A789D766CC}" name="ACCOUNT NAME" dataDxfId="3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23B52-E43D-4001-800B-B91A7C186DBB}">
  <sheetPr codeName="Sheet1"/>
  <dimension ref="B1:E16"/>
  <sheetViews>
    <sheetView showGridLines="0" tabSelected="1" workbookViewId="0">
      <selection activeCell="B12" sqref="B12"/>
    </sheetView>
  </sheetViews>
  <sheetFormatPr defaultRowHeight="15" x14ac:dyDescent="0.25"/>
  <cols>
    <col min="1" max="1" width="3" customWidth="1"/>
    <col min="2" max="2" width="12.42578125" bestFit="1" customWidth="1"/>
    <col min="3" max="3" width="23.5703125" bestFit="1" customWidth="1"/>
    <col min="4" max="4" width="16" customWidth="1"/>
    <col min="11" max="11" width="13.7109375" customWidth="1"/>
    <col min="12" max="12" width="4.28515625" customWidth="1"/>
  </cols>
  <sheetData>
    <row r="1" spans="2:5" ht="6" customHeight="1" x14ac:dyDescent="0.25"/>
    <row r="7" spans="2:5" ht="15" customHeight="1" x14ac:dyDescent="0.25">
      <c r="B7" s="23" t="s">
        <v>28</v>
      </c>
      <c r="C7" s="23"/>
      <c r="D7" s="22">
        <f>GETPIVOTDATA("PROFIT AMOUNT(USD)",$B$12)</f>
        <v>195</v>
      </c>
      <c r="E7" s="22"/>
    </row>
    <row r="8" spans="2:5" ht="15" customHeight="1" x14ac:dyDescent="0.25">
      <c r="B8" s="23"/>
      <c r="C8" s="23"/>
      <c r="D8" s="22"/>
      <c r="E8" s="22"/>
    </row>
    <row r="9" spans="2:5" ht="15" customHeight="1" x14ac:dyDescent="0.25">
      <c r="B9" s="23"/>
      <c r="C9" s="23"/>
      <c r="D9" s="22"/>
      <c r="E9" s="22"/>
    </row>
    <row r="12" spans="2:5" x14ac:dyDescent="0.25">
      <c r="B12" s="14" t="s">
        <v>30</v>
      </c>
      <c r="C12" s="2" t="s">
        <v>29</v>
      </c>
    </row>
    <row r="13" spans="2:5" x14ac:dyDescent="0.25">
      <c r="B13" s="2" t="s">
        <v>45</v>
      </c>
      <c r="C13" s="34">
        <v>45</v>
      </c>
    </row>
    <row r="14" spans="2:5" x14ac:dyDescent="0.25">
      <c r="B14" s="2" t="s">
        <v>46</v>
      </c>
      <c r="C14" s="34">
        <v>100</v>
      </c>
    </row>
    <row r="15" spans="2:5" x14ac:dyDescent="0.25">
      <c r="B15" s="2" t="s">
        <v>47</v>
      </c>
      <c r="C15" s="34">
        <v>50</v>
      </c>
    </row>
    <row r="16" spans="2:5" x14ac:dyDescent="0.25">
      <c r="B16" s="2" t="s">
        <v>26</v>
      </c>
      <c r="C16" s="34">
        <v>195</v>
      </c>
    </row>
  </sheetData>
  <mergeCells count="2">
    <mergeCell ref="D7:E9"/>
    <mergeCell ref="B7:C9"/>
  </mergeCells>
  <conditionalFormatting sqref="D7">
    <cfRule type="cellIs" dxfId="50" priority="1" operator="greaterThan">
      <formula>0</formula>
    </cfRule>
    <cfRule type="cellIs" dxfId="49" priority="2" operator="lessThan">
      <formula>0</formula>
    </cfRule>
  </conditionalFormatting>
  <pageMargins left="0.7" right="0.7" top="0.75" bottom="0.75" header="0.3" footer="0.3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C8:J23"/>
  <sheetViews>
    <sheetView showGridLines="0" zoomScaleNormal="100" workbookViewId="0">
      <selection activeCell="C9" sqref="C9"/>
    </sheetView>
  </sheetViews>
  <sheetFormatPr defaultRowHeight="15" x14ac:dyDescent="0.25"/>
  <cols>
    <col min="2" max="2" width="3.5703125" customWidth="1"/>
    <col min="3" max="3" width="11" bestFit="1" customWidth="1"/>
    <col min="5" max="5" width="11.5703125" bestFit="1" customWidth="1"/>
    <col min="6" max="6" width="9.140625" customWidth="1"/>
  </cols>
  <sheetData>
    <row r="8" spans="3:9" ht="23.25" x14ac:dyDescent="0.35">
      <c r="C8" s="25">
        <f ca="1">TODAY()+56</f>
        <v>45742</v>
      </c>
      <c r="D8" s="25"/>
      <c r="F8" s="26" t="str">
        <f ca="1">TEXT($C$8-ROWS($C$8:C8)*7,"DD.MMM.YYYY")&amp;" - "&amp;TEXT(C8,"DD.MMM.YYYY")</f>
        <v>19.Mar.2025 - 26.Mar.2025</v>
      </c>
      <c r="G8" s="26"/>
      <c r="H8" s="26"/>
      <c r="I8" s="26"/>
    </row>
    <row r="9" spans="3:9" x14ac:dyDescent="0.25">
      <c r="F9" s="2"/>
      <c r="I9" s="1"/>
    </row>
    <row r="10" spans="3:9" ht="16.5" customHeight="1" x14ac:dyDescent="0.25"/>
    <row r="11" spans="3:9" x14ac:dyDescent="0.25">
      <c r="C11" s="27">
        <v>354</v>
      </c>
      <c r="D11" s="27"/>
      <c r="G11" s="28">
        <v>50</v>
      </c>
      <c r="H11" s="28"/>
      <c r="I11" s="28"/>
    </row>
    <row r="12" spans="3:9" x14ac:dyDescent="0.25">
      <c r="C12" s="27"/>
      <c r="D12" s="27"/>
      <c r="G12" s="28"/>
      <c r="H12" s="28"/>
      <c r="I12" s="28"/>
    </row>
    <row r="13" spans="3:9" x14ac:dyDescent="0.25">
      <c r="C13" s="24" t="str">
        <f>IF(C11="","N/A",VLOOKUP(C11,Table2[],2,FALSE))</f>
        <v>FUNDEDNEXT</v>
      </c>
      <c r="D13" s="24"/>
    </row>
    <row r="14" spans="3:9" x14ac:dyDescent="0.25">
      <c r="C14" s="24"/>
      <c r="D14" s="24"/>
    </row>
    <row r="15" spans="3:9" x14ac:dyDescent="0.25">
      <c r="C15" s="24" t="str">
        <f>IF(C11="","N/A",VLOOKUP(C11,Table2[],3,FALSE))</f>
        <v>PHASE 2</v>
      </c>
      <c r="D15" s="24"/>
    </row>
    <row r="16" spans="3:9" x14ac:dyDescent="0.25">
      <c r="C16" s="24"/>
      <c r="D16" s="24"/>
    </row>
    <row r="18" spans="9:10" ht="15" customHeight="1" x14ac:dyDescent="0.25">
      <c r="I18" s="4"/>
    </row>
    <row r="23" spans="9:10" x14ac:dyDescent="0.25">
      <c r="J23" t="str">
        <f ca="1" xml:space="preserve">  "WEEK " &amp;  _xlfn.ISOWEEKNUM(today)</f>
        <v>WEEK 13</v>
      </c>
    </row>
  </sheetData>
  <mergeCells count="6">
    <mergeCell ref="C15:D16"/>
    <mergeCell ref="C8:D8"/>
    <mergeCell ref="F8:I8"/>
    <mergeCell ref="C11:D12"/>
    <mergeCell ref="G11:I12"/>
    <mergeCell ref="C13:D14"/>
  </mergeCells>
  <dataValidations count="1">
    <dataValidation type="list" allowBlank="1" showInputMessage="1" showErrorMessage="1" sqref="C11" xr:uid="{E1E160FF-AE04-44C2-9846-9C321AA23E65}">
      <formula1>ACCNUMBER</formula1>
    </dataValidation>
  </dataValidations>
  <pageMargins left="0.7" right="0.7" top="0.75" bottom="0.75" header="0.3" footer="0.3"/>
  <pageSetup orientation="portrait" horizontalDpi="0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844875-6680-4D51-8AEA-F0B80D808BC9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216D4D-5EF9-4E2A-AEE5-3C15CAE1D027}">
  <sheetPr codeName="Sheet3"/>
  <dimension ref="A1:J5"/>
  <sheetViews>
    <sheetView showGridLines="0" workbookViewId="0">
      <selection activeCell="F16" sqref="F16"/>
    </sheetView>
  </sheetViews>
  <sheetFormatPr defaultRowHeight="15" x14ac:dyDescent="0.25"/>
  <cols>
    <col min="1" max="1" width="12" customWidth="1"/>
    <col min="2" max="2" width="23" bestFit="1" customWidth="1"/>
    <col min="3" max="3" width="20.42578125" customWidth="1"/>
    <col min="4" max="4" width="15.7109375" bestFit="1" customWidth="1"/>
    <col min="5" max="5" width="21.140625" bestFit="1" customWidth="1"/>
    <col min="6" max="6" width="23.42578125" customWidth="1"/>
    <col min="9" max="9" width="11.28515625" bestFit="1" customWidth="1"/>
    <col min="10" max="10" width="23.85546875" bestFit="1" customWidth="1"/>
  </cols>
  <sheetData>
    <row r="1" spans="1:10" x14ac:dyDescent="0.25">
      <c r="A1" t="s">
        <v>0</v>
      </c>
      <c r="B1" t="s">
        <v>11</v>
      </c>
      <c r="C1" t="s">
        <v>9</v>
      </c>
      <c r="D1" t="s">
        <v>8</v>
      </c>
      <c r="E1" t="s">
        <v>10</v>
      </c>
      <c r="F1" t="s">
        <v>12</v>
      </c>
      <c r="G1" t="s">
        <v>27</v>
      </c>
      <c r="I1" s="8" t="s">
        <v>30</v>
      </c>
      <c r="J1" t="s">
        <v>29</v>
      </c>
    </row>
    <row r="2" spans="1:10" x14ac:dyDescent="0.25">
      <c r="A2" s="3">
        <v>45675</v>
      </c>
      <c r="B2" t="s">
        <v>20</v>
      </c>
      <c r="C2">
        <v>63553</v>
      </c>
      <c r="D2" t="s">
        <v>14</v>
      </c>
      <c r="E2" t="s">
        <v>17</v>
      </c>
      <c r="F2">
        <v>45</v>
      </c>
      <c r="G2" t="str">
        <f>TEXT(Table1[[#This Row],[DATE]],"MMM-YYYY")</f>
        <v>Jan-2025</v>
      </c>
      <c r="I2" s="9" t="s">
        <v>45</v>
      </c>
      <c r="J2" s="33">
        <v>45</v>
      </c>
    </row>
    <row r="3" spans="1:10" x14ac:dyDescent="0.25">
      <c r="A3" s="3">
        <v>45708</v>
      </c>
      <c r="B3" t="s">
        <v>42</v>
      </c>
      <c r="C3">
        <v>354</v>
      </c>
      <c r="D3" t="s">
        <v>16</v>
      </c>
      <c r="E3" t="s">
        <v>19</v>
      </c>
      <c r="F3">
        <v>50</v>
      </c>
      <c r="G3" t="str">
        <f>TEXT(Table1[[#This Row],[DATE]],"MMM-YYYY")</f>
        <v>Feb-2025</v>
      </c>
      <c r="I3" s="9" t="s">
        <v>46</v>
      </c>
      <c r="J3" s="33">
        <v>100</v>
      </c>
    </row>
    <row r="4" spans="1:10" x14ac:dyDescent="0.25">
      <c r="A4" s="3">
        <v>45708</v>
      </c>
      <c r="B4" t="s">
        <v>42</v>
      </c>
      <c r="C4">
        <v>354</v>
      </c>
      <c r="D4" t="s">
        <v>16</v>
      </c>
      <c r="E4" t="s">
        <v>19</v>
      </c>
      <c r="F4">
        <v>50</v>
      </c>
      <c r="G4" t="str">
        <f>TEXT(Table1[[#This Row],[DATE]],"MMM-YYYY")</f>
        <v>Feb-2025</v>
      </c>
      <c r="I4" s="9" t="s">
        <v>47</v>
      </c>
      <c r="J4" s="33">
        <v>50</v>
      </c>
    </row>
    <row r="5" spans="1:10" x14ac:dyDescent="0.25">
      <c r="A5" s="3">
        <v>45742</v>
      </c>
      <c r="B5" t="s">
        <v>43</v>
      </c>
      <c r="C5">
        <v>354</v>
      </c>
      <c r="D5" t="s">
        <v>16</v>
      </c>
      <c r="E5" t="s">
        <v>19</v>
      </c>
      <c r="F5">
        <v>50</v>
      </c>
      <c r="G5" t="str">
        <f>TEXT(Table1[[#This Row],[DATE]],"MMM-YYYY")</f>
        <v>Mar-2025</v>
      </c>
      <c r="I5" s="9" t="s">
        <v>26</v>
      </c>
      <c r="J5" s="33">
        <v>195</v>
      </c>
    </row>
  </sheetData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CB6C9F-62DD-4D99-8687-58B649468147}">
  <sheetPr codeName="Sheet6"/>
  <dimension ref="A1:G31"/>
  <sheetViews>
    <sheetView workbookViewId="0">
      <selection activeCell="A2" sqref="A2:G31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45661</v>
      </c>
      <c r="B2" s="6" t="s">
        <v>23</v>
      </c>
      <c r="C2" s="6">
        <v>7864</v>
      </c>
      <c r="D2" s="6" t="s">
        <v>1</v>
      </c>
      <c r="E2" s="6" t="s">
        <v>22</v>
      </c>
      <c r="F2" s="6">
        <v>23</v>
      </c>
      <c r="G2">
        <v>1</v>
      </c>
    </row>
    <row r="3" spans="1:7" x14ac:dyDescent="0.25">
      <c r="A3" s="11">
        <v>45661</v>
      </c>
      <c r="B3" s="7" t="s">
        <v>23</v>
      </c>
      <c r="C3" s="7">
        <v>6478346234</v>
      </c>
      <c r="D3" s="7" t="s">
        <v>13</v>
      </c>
      <c r="E3" s="7" t="s">
        <v>6</v>
      </c>
      <c r="F3" s="7">
        <v>-34</v>
      </c>
      <c r="G3">
        <v>1</v>
      </c>
    </row>
    <row r="4" spans="1:7" x14ac:dyDescent="0.25">
      <c r="A4" s="10">
        <v>45661</v>
      </c>
      <c r="B4" s="6" t="s">
        <v>23</v>
      </c>
      <c r="C4" s="6">
        <v>6478346234</v>
      </c>
      <c r="D4" s="6" t="s">
        <v>13</v>
      </c>
      <c r="E4" s="6" t="s">
        <v>6</v>
      </c>
      <c r="F4" s="6">
        <v>-35</v>
      </c>
      <c r="G4">
        <v>1</v>
      </c>
    </row>
    <row r="5" spans="1:7" x14ac:dyDescent="0.25">
      <c r="A5" s="11">
        <v>45661</v>
      </c>
      <c r="B5" s="7" t="s">
        <v>23</v>
      </c>
      <c r="C5" s="7">
        <v>6478346234</v>
      </c>
      <c r="D5" s="7" t="s">
        <v>13</v>
      </c>
      <c r="E5" s="7" t="s">
        <v>6</v>
      </c>
      <c r="F5" s="7">
        <v>23</v>
      </c>
      <c r="G5">
        <v>1</v>
      </c>
    </row>
    <row r="6" spans="1:7" x14ac:dyDescent="0.25">
      <c r="A6" s="11">
        <v>45661</v>
      </c>
      <c r="B6" s="7" t="s">
        <v>23</v>
      </c>
      <c r="C6" s="7">
        <v>354</v>
      </c>
      <c r="D6" s="7" t="s">
        <v>16</v>
      </c>
      <c r="E6" s="7" t="s">
        <v>19</v>
      </c>
      <c r="F6" s="7">
        <v>19</v>
      </c>
      <c r="G6">
        <v>1</v>
      </c>
    </row>
    <row r="7" spans="1:7" x14ac:dyDescent="0.25">
      <c r="A7" s="11">
        <v>45668</v>
      </c>
      <c r="B7" s="7" t="s">
        <v>21</v>
      </c>
      <c r="C7" s="7">
        <v>63553</v>
      </c>
      <c r="D7" s="7" t="s">
        <v>14</v>
      </c>
      <c r="E7" s="7" t="s">
        <v>17</v>
      </c>
      <c r="F7" s="7">
        <v>11</v>
      </c>
      <c r="G7">
        <v>2</v>
      </c>
    </row>
    <row r="8" spans="1:7" x14ac:dyDescent="0.25">
      <c r="A8" s="10">
        <v>45668</v>
      </c>
      <c r="B8" s="6" t="s">
        <v>21</v>
      </c>
      <c r="C8" s="6">
        <v>23456</v>
      </c>
      <c r="D8" s="6" t="s">
        <v>3</v>
      </c>
      <c r="E8" s="6" t="s">
        <v>4</v>
      </c>
      <c r="F8" s="6">
        <v>16</v>
      </c>
      <c r="G8">
        <v>2</v>
      </c>
    </row>
    <row r="9" spans="1:7" x14ac:dyDescent="0.25">
      <c r="A9" s="11">
        <v>45668</v>
      </c>
      <c r="B9" s="7" t="s">
        <v>21</v>
      </c>
      <c r="C9" s="7">
        <v>7864</v>
      </c>
      <c r="D9" s="7" t="s">
        <v>1</v>
      </c>
      <c r="E9" s="7" t="s">
        <v>22</v>
      </c>
      <c r="F9" s="7">
        <v>12</v>
      </c>
      <c r="G9">
        <v>2</v>
      </c>
    </row>
    <row r="10" spans="1:7" x14ac:dyDescent="0.25">
      <c r="A10" s="10">
        <v>45668</v>
      </c>
      <c r="B10" s="6" t="s">
        <v>21</v>
      </c>
      <c r="C10" s="6">
        <v>602615</v>
      </c>
      <c r="D10" s="6" t="s">
        <v>5</v>
      </c>
      <c r="E10" s="6" t="s">
        <v>6</v>
      </c>
      <c r="F10" s="6">
        <v>13</v>
      </c>
      <c r="G10">
        <v>2</v>
      </c>
    </row>
    <row r="11" spans="1:7" x14ac:dyDescent="0.25">
      <c r="A11" s="10">
        <v>45675</v>
      </c>
      <c r="B11" s="6" t="s">
        <v>20</v>
      </c>
      <c r="C11" s="6">
        <v>63553</v>
      </c>
      <c r="D11" s="6" t="s">
        <v>14</v>
      </c>
      <c r="E11" s="6" t="s">
        <v>17</v>
      </c>
      <c r="F11" s="6">
        <v>45</v>
      </c>
      <c r="G11">
        <v>3</v>
      </c>
    </row>
    <row r="12" spans="1:7" x14ac:dyDescent="0.25">
      <c r="A12" s="11">
        <v>45675</v>
      </c>
      <c r="B12" s="7" t="s">
        <v>20</v>
      </c>
      <c r="C12" s="7">
        <v>23456</v>
      </c>
      <c r="D12" s="7" t="s">
        <v>3</v>
      </c>
      <c r="E12" s="7" t="s">
        <v>4</v>
      </c>
      <c r="F12" s="7">
        <v>23</v>
      </c>
      <c r="G12">
        <v>3</v>
      </c>
    </row>
    <row r="13" spans="1:7" x14ac:dyDescent="0.25">
      <c r="A13" s="10">
        <v>45675</v>
      </c>
      <c r="B13" s="6" t="s">
        <v>20</v>
      </c>
      <c r="C13" s="6">
        <v>6478346234</v>
      </c>
      <c r="D13" s="6" t="s">
        <v>13</v>
      </c>
      <c r="E13" s="6" t="s">
        <v>6</v>
      </c>
      <c r="F13" s="6">
        <v>56</v>
      </c>
      <c r="G13">
        <v>3</v>
      </c>
    </row>
    <row r="14" spans="1:7" x14ac:dyDescent="0.25">
      <c r="A14" s="11">
        <v>45675</v>
      </c>
      <c r="B14" s="7" t="s">
        <v>20</v>
      </c>
      <c r="C14" s="7">
        <v>6478346234</v>
      </c>
      <c r="D14" s="7" t="s">
        <v>13</v>
      </c>
      <c r="E14" s="7" t="s">
        <v>6</v>
      </c>
      <c r="F14" s="7">
        <v>5</v>
      </c>
      <c r="G14">
        <v>3</v>
      </c>
    </row>
    <row r="15" spans="1:7" x14ac:dyDescent="0.25">
      <c r="A15" s="10">
        <v>45675</v>
      </c>
      <c r="B15" s="12" t="s">
        <v>20</v>
      </c>
      <c r="C15" s="6">
        <v>76487</v>
      </c>
      <c r="D15" s="6" t="s">
        <v>1</v>
      </c>
      <c r="E15" s="6" t="s">
        <v>18</v>
      </c>
      <c r="F15" s="6">
        <v>56</v>
      </c>
      <c r="G15">
        <v>3</v>
      </c>
    </row>
    <row r="16" spans="1:7" x14ac:dyDescent="0.25">
      <c r="A16" s="11">
        <v>45675</v>
      </c>
      <c r="B16" s="7" t="s">
        <v>20</v>
      </c>
      <c r="C16" s="7">
        <v>63553</v>
      </c>
      <c r="D16" s="7" t="s">
        <v>14</v>
      </c>
      <c r="E16" s="7" t="s">
        <v>17</v>
      </c>
      <c r="F16" s="7">
        <v>22</v>
      </c>
      <c r="G16">
        <v>3</v>
      </c>
    </row>
    <row r="17" spans="1:7" x14ac:dyDescent="0.25">
      <c r="A17" s="10">
        <v>45675</v>
      </c>
      <c r="B17" s="6" t="s">
        <v>20</v>
      </c>
      <c r="C17" s="6">
        <v>63553</v>
      </c>
      <c r="D17" s="6" t="s">
        <v>14</v>
      </c>
      <c r="E17" s="6" t="s">
        <v>17</v>
      </c>
      <c r="F17" s="6">
        <v>22</v>
      </c>
      <c r="G17">
        <v>3</v>
      </c>
    </row>
    <row r="18" spans="1:7" x14ac:dyDescent="0.25">
      <c r="A18" s="11">
        <v>45675</v>
      </c>
      <c r="B18" s="7" t="s">
        <v>20</v>
      </c>
      <c r="C18" s="7">
        <v>63553</v>
      </c>
      <c r="D18" s="7" t="s">
        <v>14</v>
      </c>
      <c r="E18" s="7" t="s">
        <v>17</v>
      </c>
      <c r="F18" s="7">
        <v>22</v>
      </c>
      <c r="G18">
        <v>3</v>
      </c>
    </row>
    <row r="19" spans="1:7" x14ac:dyDescent="0.25">
      <c r="A19" s="10">
        <v>45675</v>
      </c>
      <c r="B19" s="6" t="s">
        <v>20</v>
      </c>
      <c r="C19" s="6">
        <v>63553</v>
      </c>
      <c r="D19" s="6" t="s">
        <v>14</v>
      </c>
      <c r="E19" s="6" t="s">
        <v>17</v>
      </c>
      <c r="F19" s="6">
        <v>11</v>
      </c>
      <c r="G19">
        <v>3</v>
      </c>
    </row>
    <row r="20" spans="1:7" x14ac:dyDescent="0.25">
      <c r="A20" s="11">
        <v>45675</v>
      </c>
      <c r="B20" s="7" t="s">
        <v>20</v>
      </c>
      <c r="C20" s="7">
        <v>7463734</v>
      </c>
      <c r="D20" s="7" t="s">
        <v>16</v>
      </c>
      <c r="E20" s="7" t="s">
        <v>6</v>
      </c>
      <c r="F20" s="7">
        <v>13</v>
      </c>
      <c r="G20">
        <v>3</v>
      </c>
    </row>
    <row r="21" spans="1:7" x14ac:dyDescent="0.25">
      <c r="A21" s="10">
        <v>45675</v>
      </c>
      <c r="B21" s="6" t="s">
        <v>20</v>
      </c>
      <c r="C21" s="6">
        <v>63553</v>
      </c>
      <c r="D21" s="6" t="s">
        <v>14</v>
      </c>
      <c r="E21" s="6" t="s">
        <v>17</v>
      </c>
      <c r="F21" s="6">
        <v>11</v>
      </c>
      <c r="G21">
        <v>3</v>
      </c>
    </row>
    <row r="22" spans="1:7" x14ac:dyDescent="0.25">
      <c r="A22" s="11">
        <v>45689</v>
      </c>
      <c r="B22" s="7" t="s">
        <v>25</v>
      </c>
      <c r="C22" s="7">
        <v>354</v>
      </c>
      <c r="D22" s="7" t="s">
        <v>16</v>
      </c>
      <c r="E22" s="7" t="s">
        <v>19</v>
      </c>
      <c r="F22" s="7">
        <v>19</v>
      </c>
      <c r="G22">
        <v>5</v>
      </c>
    </row>
    <row r="23" spans="1:7" x14ac:dyDescent="0.25">
      <c r="A23" s="10">
        <v>45689</v>
      </c>
      <c r="B23" s="6" t="s">
        <v>25</v>
      </c>
      <c r="C23" s="6">
        <v>354</v>
      </c>
      <c r="D23" s="6" t="s">
        <v>16</v>
      </c>
      <c r="E23" s="6" t="s">
        <v>19</v>
      </c>
      <c r="F23" s="6">
        <v>23</v>
      </c>
      <c r="G23">
        <v>5</v>
      </c>
    </row>
    <row r="24" spans="1:7" x14ac:dyDescent="0.25">
      <c r="A24" s="11">
        <v>45689</v>
      </c>
      <c r="B24" s="7" t="s">
        <v>25</v>
      </c>
      <c r="C24" s="7">
        <v>354</v>
      </c>
      <c r="D24" s="7" t="s">
        <v>16</v>
      </c>
      <c r="E24" s="7" t="s">
        <v>19</v>
      </c>
      <c r="F24" s="7">
        <v>23</v>
      </c>
      <c r="G24">
        <v>5</v>
      </c>
    </row>
    <row r="25" spans="1:7" x14ac:dyDescent="0.25">
      <c r="A25" s="10">
        <v>45689</v>
      </c>
      <c r="B25" s="6" t="s">
        <v>25</v>
      </c>
      <c r="C25" s="6">
        <v>354</v>
      </c>
      <c r="D25" s="6" t="s">
        <v>16</v>
      </c>
      <c r="E25" s="6" t="s">
        <v>19</v>
      </c>
      <c r="F25" s="6">
        <v>33</v>
      </c>
      <c r="G25">
        <v>5</v>
      </c>
    </row>
    <row r="26" spans="1:7" x14ac:dyDescent="0.25">
      <c r="A26" s="11">
        <v>45689</v>
      </c>
      <c r="B26" s="7" t="s">
        <v>25</v>
      </c>
      <c r="C26" s="7">
        <v>354</v>
      </c>
      <c r="D26" s="7" t="s">
        <v>16</v>
      </c>
      <c r="E26" s="7" t="s">
        <v>19</v>
      </c>
      <c r="F26" s="7">
        <v>10</v>
      </c>
      <c r="G26">
        <v>5</v>
      </c>
    </row>
    <row r="27" spans="1:7" x14ac:dyDescent="0.25">
      <c r="A27" s="10">
        <v>45720</v>
      </c>
      <c r="B27" s="6" t="s">
        <v>23</v>
      </c>
      <c r="C27" s="6">
        <v>354</v>
      </c>
      <c r="D27" s="6" t="s">
        <v>16</v>
      </c>
      <c r="E27" s="6" t="s">
        <v>19</v>
      </c>
      <c r="F27" s="6">
        <v>19</v>
      </c>
      <c r="G27">
        <v>10</v>
      </c>
    </row>
    <row r="28" spans="1:7" x14ac:dyDescent="0.25">
      <c r="A28" s="11">
        <v>45751</v>
      </c>
      <c r="B28" s="7" t="s">
        <v>23</v>
      </c>
      <c r="C28" s="7">
        <v>7463734</v>
      </c>
      <c r="D28" s="7" t="s">
        <v>16</v>
      </c>
      <c r="E28" s="7" t="s">
        <v>6</v>
      </c>
      <c r="F28" s="7">
        <v>13</v>
      </c>
      <c r="G28">
        <v>14</v>
      </c>
    </row>
    <row r="29" spans="1:7" x14ac:dyDescent="0.25">
      <c r="A29" s="10">
        <v>45781</v>
      </c>
      <c r="B29" s="6" t="s">
        <v>23</v>
      </c>
      <c r="C29" s="6">
        <v>661971</v>
      </c>
      <c r="D29" s="6" t="s">
        <v>15</v>
      </c>
      <c r="E29" s="6" t="s">
        <v>7</v>
      </c>
      <c r="F29" s="6">
        <v>16</v>
      </c>
      <c r="G29">
        <v>19</v>
      </c>
    </row>
    <row r="30" spans="1:7" x14ac:dyDescent="0.25">
      <c r="A30" s="10">
        <v>45647</v>
      </c>
      <c r="B30" s="6" t="s">
        <v>24</v>
      </c>
      <c r="C30" s="6">
        <v>6478346234</v>
      </c>
      <c r="D30" s="6" t="s">
        <v>13</v>
      </c>
      <c r="E30" s="6" t="s">
        <v>6</v>
      </c>
      <c r="F30" s="6">
        <v>13</v>
      </c>
      <c r="G30">
        <v>51</v>
      </c>
    </row>
    <row r="31" spans="1:7" x14ac:dyDescent="0.25">
      <c r="A31" s="11">
        <v>45647</v>
      </c>
      <c r="B31" s="7" t="s">
        <v>24</v>
      </c>
      <c r="C31" s="7">
        <v>602615</v>
      </c>
      <c r="D31" s="7" t="s">
        <v>5</v>
      </c>
      <c r="E31" s="7" t="s">
        <v>6</v>
      </c>
      <c r="F31" s="7">
        <v>13</v>
      </c>
      <c r="G31">
        <v>51</v>
      </c>
    </row>
  </sheetData>
  <sortState xmlns:xlrd2="http://schemas.microsoft.com/office/spreadsheetml/2017/richdata2" ref="A2:G31">
    <sortCondition ref="G2:G3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F3161-00B7-43C9-84B4-016E95EE68FA}">
  <sheetPr codeName="Sheet8"/>
  <dimension ref="A1:G31"/>
  <sheetViews>
    <sheetView workbookViewId="0">
      <selection activeCell="A2" sqref="A2:G31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45661</v>
      </c>
      <c r="B2" s="6" t="s">
        <v>23</v>
      </c>
      <c r="C2" s="6">
        <v>7864</v>
      </c>
      <c r="D2" s="6" t="s">
        <v>1</v>
      </c>
      <c r="E2" s="6" t="s">
        <v>22</v>
      </c>
      <c r="F2" s="6">
        <v>23</v>
      </c>
      <c r="G2">
        <v>1</v>
      </c>
    </row>
    <row r="3" spans="1:7" x14ac:dyDescent="0.25">
      <c r="A3" s="11">
        <v>45661</v>
      </c>
      <c r="B3" s="7" t="s">
        <v>23</v>
      </c>
      <c r="C3" s="7">
        <v>6478346234</v>
      </c>
      <c r="D3" s="7" t="s">
        <v>13</v>
      </c>
      <c r="E3" s="7" t="s">
        <v>6</v>
      </c>
      <c r="F3" s="7">
        <v>-34</v>
      </c>
      <c r="G3">
        <v>1</v>
      </c>
    </row>
    <row r="4" spans="1:7" x14ac:dyDescent="0.25">
      <c r="A4" s="10">
        <v>45661</v>
      </c>
      <c r="B4" s="6" t="s">
        <v>23</v>
      </c>
      <c r="C4" s="6">
        <v>6478346234</v>
      </c>
      <c r="D4" s="6" t="s">
        <v>13</v>
      </c>
      <c r="E4" s="6" t="s">
        <v>6</v>
      </c>
      <c r="F4" s="6">
        <v>-35</v>
      </c>
      <c r="G4">
        <v>1</v>
      </c>
    </row>
    <row r="5" spans="1:7" x14ac:dyDescent="0.25">
      <c r="A5" s="11">
        <v>45661</v>
      </c>
      <c r="B5" s="7" t="s">
        <v>23</v>
      </c>
      <c r="C5" s="7">
        <v>6478346234</v>
      </c>
      <c r="D5" s="7" t="s">
        <v>13</v>
      </c>
      <c r="E5" s="7" t="s">
        <v>6</v>
      </c>
      <c r="F5" s="7">
        <v>23</v>
      </c>
      <c r="G5">
        <v>1</v>
      </c>
    </row>
    <row r="6" spans="1:7" x14ac:dyDescent="0.25">
      <c r="A6" s="11">
        <v>45661</v>
      </c>
      <c r="B6" s="7" t="s">
        <v>23</v>
      </c>
      <c r="C6" s="7">
        <v>354</v>
      </c>
      <c r="D6" s="7" t="s">
        <v>16</v>
      </c>
      <c r="E6" s="7" t="s">
        <v>19</v>
      </c>
      <c r="F6" s="7">
        <v>19</v>
      </c>
      <c r="G6">
        <v>1</v>
      </c>
    </row>
    <row r="7" spans="1:7" x14ac:dyDescent="0.25">
      <c r="A7" s="11">
        <v>45668</v>
      </c>
      <c r="B7" s="7" t="s">
        <v>21</v>
      </c>
      <c r="C7" s="7">
        <v>63553</v>
      </c>
      <c r="D7" s="7" t="s">
        <v>14</v>
      </c>
      <c r="E7" s="7" t="s">
        <v>17</v>
      </c>
      <c r="F7" s="7">
        <v>11</v>
      </c>
      <c r="G7">
        <v>2</v>
      </c>
    </row>
    <row r="8" spans="1:7" x14ac:dyDescent="0.25">
      <c r="A8" s="10">
        <v>45668</v>
      </c>
      <c r="B8" s="6" t="s">
        <v>21</v>
      </c>
      <c r="C8" s="6">
        <v>23456</v>
      </c>
      <c r="D8" s="6" t="s">
        <v>3</v>
      </c>
      <c r="E8" s="6" t="s">
        <v>4</v>
      </c>
      <c r="F8" s="6">
        <v>16</v>
      </c>
      <c r="G8">
        <v>2</v>
      </c>
    </row>
    <row r="9" spans="1:7" x14ac:dyDescent="0.25">
      <c r="A9" s="11">
        <v>45668</v>
      </c>
      <c r="B9" s="7" t="s">
        <v>21</v>
      </c>
      <c r="C9" s="7">
        <v>7864</v>
      </c>
      <c r="D9" s="7" t="s">
        <v>1</v>
      </c>
      <c r="E9" s="7" t="s">
        <v>22</v>
      </c>
      <c r="F9" s="7">
        <v>12</v>
      </c>
      <c r="G9">
        <v>2</v>
      </c>
    </row>
    <row r="10" spans="1:7" x14ac:dyDescent="0.25">
      <c r="A10" s="10">
        <v>45668</v>
      </c>
      <c r="B10" s="6" t="s">
        <v>21</v>
      </c>
      <c r="C10" s="6">
        <v>602615</v>
      </c>
      <c r="D10" s="6" t="s">
        <v>5</v>
      </c>
      <c r="E10" s="6" t="s">
        <v>6</v>
      </c>
      <c r="F10" s="6">
        <v>13</v>
      </c>
      <c r="G10">
        <v>2</v>
      </c>
    </row>
    <row r="11" spans="1:7" x14ac:dyDescent="0.25">
      <c r="A11" s="10">
        <v>45675</v>
      </c>
      <c r="B11" s="6" t="s">
        <v>20</v>
      </c>
      <c r="C11" s="6">
        <v>63553</v>
      </c>
      <c r="D11" s="6" t="s">
        <v>14</v>
      </c>
      <c r="E11" s="6" t="s">
        <v>17</v>
      </c>
      <c r="F11" s="6">
        <v>45</v>
      </c>
      <c r="G11">
        <v>3</v>
      </c>
    </row>
    <row r="12" spans="1:7" x14ac:dyDescent="0.25">
      <c r="A12" s="11">
        <v>45675</v>
      </c>
      <c r="B12" s="7" t="s">
        <v>20</v>
      </c>
      <c r="C12" s="7">
        <v>23456</v>
      </c>
      <c r="D12" s="7" t="s">
        <v>3</v>
      </c>
      <c r="E12" s="7" t="s">
        <v>4</v>
      </c>
      <c r="F12" s="7">
        <v>23</v>
      </c>
      <c r="G12">
        <v>3</v>
      </c>
    </row>
    <row r="13" spans="1:7" x14ac:dyDescent="0.25">
      <c r="A13" s="10">
        <v>45675</v>
      </c>
      <c r="B13" s="6" t="s">
        <v>20</v>
      </c>
      <c r="C13" s="6">
        <v>6478346234</v>
      </c>
      <c r="D13" s="6" t="s">
        <v>13</v>
      </c>
      <c r="E13" s="6" t="s">
        <v>6</v>
      </c>
      <c r="F13" s="6">
        <v>56</v>
      </c>
      <c r="G13">
        <v>3</v>
      </c>
    </row>
    <row r="14" spans="1:7" x14ac:dyDescent="0.25">
      <c r="A14" s="11">
        <v>45675</v>
      </c>
      <c r="B14" s="7" t="s">
        <v>20</v>
      </c>
      <c r="C14" s="7">
        <v>6478346234</v>
      </c>
      <c r="D14" s="7" t="s">
        <v>13</v>
      </c>
      <c r="E14" s="7" t="s">
        <v>6</v>
      </c>
      <c r="F14" s="7">
        <v>5</v>
      </c>
      <c r="G14">
        <v>3</v>
      </c>
    </row>
    <row r="15" spans="1:7" x14ac:dyDescent="0.25">
      <c r="A15" s="10">
        <v>45675</v>
      </c>
      <c r="B15" s="12" t="s">
        <v>20</v>
      </c>
      <c r="C15" s="6">
        <v>76487</v>
      </c>
      <c r="D15" s="6" t="s">
        <v>1</v>
      </c>
      <c r="E15" s="6" t="s">
        <v>18</v>
      </c>
      <c r="F15" s="6">
        <v>56</v>
      </c>
      <c r="G15">
        <v>3</v>
      </c>
    </row>
    <row r="16" spans="1:7" x14ac:dyDescent="0.25">
      <c r="A16" s="11">
        <v>45675</v>
      </c>
      <c r="B16" s="7" t="s">
        <v>20</v>
      </c>
      <c r="C16" s="7">
        <v>63553</v>
      </c>
      <c r="D16" s="7" t="s">
        <v>14</v>
      </c>
      <c r="E16" s="7" t="s">
        <v>17</v>
      </c>
      <c r="F16" s="7">
        <v>22</v>
      </c>
      <c r="G16">
        <v>3</v>
      </c>
    </row>
    <row r="17" spans="1:7" x14ac:dyDescent="0.25">
      <c r="A17" s="10">
        <v>45675</v>
      </c>
      <c r="B17" s="6" t="s">
        <v>20</v>
      </c>
      <c r="C17" s="6">
        <v>63553</v>
      </c>
      <c r="D17" s="6" t="s">
        <v>14</v>
      </c>
      <c r="E17" s="6" t="s">
        <v>17</v>
      </c>
      <c r="F17" s="6">
        <v>22</v>
      </c>
      <c r="G17">
        <v>3</v>
      </c>
    </row>
    <row r="18" spans="1:7" x14ac:dyDescent="0.25">
      <c r="A18" s="11">
        <v>45675</v>
      </c>
      <c r="B18" s="7" t="s">
        <v>20</v>
      </c>
      <c r="C18" s="7">
        <v>63553</v>
      </c>
      <c r="D18" s="7" t="s">
        <v>14</v>
      </c>
      <c r="E18" s="7" t="s">
        <v>17</v>
      </c>
      <c r="F18" s="7">
        <v>22</v>
      </c>
      <c r="G18">
        <v>3</v>
      </c>
    </row>
    <row r="19" spans="1:7" x14ac:dyDescent="0.25">
      <c r="A19" s="10">
        <v>45675</v>
      </c>
      <c r="B19" s="6" t="s">
        <v>20</v>
      </c>
      <c r="C19" s="6">
        <v>63553</v>
      </c>
      <c r="D19" s="6" t="s">
        <v>14</v>
      </c>
      <c r="E19" s="6" t="s">
        <v>17</v>
      </c>
      <c r="F19" s="6">
        <v>11</v>
      </c>
      <c r="G19">
        <v>3</v>
      </c>
    </row>
    <row r="20" spans="1:7" x14ac:dyDescent="0.25">
      <c r="A20" s="11">
        <v>45675</v>
      </c>
      <c r="B20" s="7" t="s">
        <v>20</v>
      </c>
      <c r="C20" s="7">
        <v>7463734</v>
      </c>
      <c r="D20" s="7" t="s">
        <v>16</v>
      </c>
      <c r="E20" s="7" t="s">
        <v>6</v>
      </c>
      <c r="F20" s="7">
        <v>13</v>
      </c>
      <c r="G20">
        <v>3</v>
      </c>
    </row>
    <row r="21" spans="1:7" x14ac:dyDescent="0.25">
      <c r="A21" s="10">
        <v>45675</v>
      </c>
      <c r="B21" s="6" t="s">
        <v>20</v>
      </c>
      <c r="C21" s="6">
        <v>63553</v>
      </c>
      <c r="D21" s="6" t="s">
        <v>14</v>
      </c>
      <c r="E21" s="6" t="s">
        <v>17</v>
      </c>
      <c r="F21" s="6">
        <v>11</v>
      </c>
      <c r="G21">
        <v>3</v>
      </c>
    </row>
    <row r="22" spans="1:7" x14ac:dyDescent="0.25">
      <c r="A22" s="11">
        <v>45689</v>
      </c>
      <c r="B22" s="7" t="s">
        <v>25</v>
      </c>
      <c r="C22" s="7">
        <v>354</v>
      </c>
      <c r="D22" s="7" t="s">
        <v>16</v>
      </c>
      <c r="E22" s="7" t="s">
        <v>19</v>
      </c>
      <c r="F22" s="7">
        <v>19</v>
      </c>
      <c r="G22">
        <v>5</v>
      </c>
    </row>
    <row r="23" spans="1:7" x14ac:dyDescent="0.25">
      <c r="A23" s="10">
        <v>45689</v>
      </c>
      <c r="B23" s="6" t="s">
        <v>25</v>
      </c>
      <c r="C23" s="6">
        <v>354</v>
      </c>
      <c r="D23" s="6" t="s">
        <v>16</v>
      </c>
      <c r="E23" s="6" t="s">
        <v>19</v>
      </c>
      <c r="F23" s="6">
        <v>23</v>
      </c>
      <c r="G23">
        <v>5</v>
      </c>
    </row>
    <row r="24" spans="1:7" x14ac:dyDescent="0.25">
      <c r="A24" s="11">
        <v>45689</v>
      </c>
      <c r="B24" s="7" t="s">
        <v>25</v>
      </c>
      <c r="C24" s="7">
        <v>354</v>
      </c>
      <c r="D24" s="7" t="s">
        <v>16</v>
      </c>
      <c r="E24" s="7" t="s">
        <v>19</v>
      </c>
      <c r="F24" s="7">
        <v>23</v>
      </c>
      <c r="G24">
        <v>5</v>
      </c>
    </row>
    <row r="25" spans="1:7" x14ac:dyDescent="0.25">
      <c r="A25" s="10">
        <v>45689</v>
      </c>
      <c r="B25" s="6" t="s">
        <v>25</v>
      </c>
      <c r="C25" s="6">
        <v>354</v>
      </c>
      <c r="D25" s="6" t="s">
        <v>16</v>
      </c>
      <c r="E25" s="6" t="s">
        <v>19</v>
      </c>
      <c r="F25" s="6">
        <v>33</v>
      </c>
      <c r="G25">
        <v>5</v>
      </c>
    </row>
    <row r="26" spans="1:7" x14ac:dyDescent="0.25">
      <c r="A26" s="11">
        <v>45689</v>
      </c>
      <c r="B26" s="7" t="s">
        <v>25</v>
      </c>
      <c r="C26" s="7">
        <v>354</v>
      </c>
      <c r="D26" s="7" t="s">
        <v>16</v>
      </c>
      <c r="E26" s="7" t="s">
        <v>19</v>
      </c>
      <c r="F26" s="7">
        <v>1000000</v>
      </c>
      <c r="G26">
        <v>5</v>
      </c>
    </row>
    <row r="27" spans="1:7" x14ac:dyDescent="0.25">
      <c r="A27" s="10">
        <v>45720</v>
      </c>
      <c r="B27" s="6" t="s">
        <v>23</v>
      </c>
      <c r="C27" s="6">
        <v>354</v>
      </c>
      <c r="D27" s="6" t="s">
        <v>16</v>
      </c>
      <c r="E27" s="6" t="s">
        <v>19</v>
      </c>
      <c r="F27" s="6">
        <v>19</v>
      </c>
      <c r="G27">
        <v>10</v>
      </c>
    </row>
    <row r="28" spans="1:7" x14ac:dyDescent="0.25">
      <c r="A28" s="11">
        <v>45751</v>
      </c>
      <c r="B28" s="7" t="s">
        <v>23</v>
      </c>
      <c r="C28" s="7">
        <v>7463734</v>
      </c>
      <c r="D28" s="7" t="s">
        <v>16</v>
      </c>
      <c r="E28" s="7" t="s">
        <v>6</v>
      </c>
      <c r="F28" s="7">
        <v>13</v>
      </c>
      <c r="G28">
        <v>14</v>
      </c>
    </row>
    <row r="29" spans="1:7" x14ac:dyDescent="0.25">
      <c r="A29" s="10">
        <v>45781</v>
      </c>
      <c r="B29" s="6" t="s">
        <v>23</v>
      </c>
      <c r="C29" s="6">
        <v>661971</v>
      </c>
      <c r="D29" s="6" t="s">
        <v>15</v>
      </c>
      <c r="E29" s="6" t="s">
        <v>7</v>
      </c>
      <c r="F29" s="6">
        <v>16</v>
      </c>
      <c r="G29">
        <v>19</v>
      </c>
    </row>
    <row r="30" spans="1:7" x14ac:dyDescent="0.25">
      <c r="A30" s="10">
        <v>45647</v>
      </c>
      <c r="B30" s="6" t="s">
        <v>24</v>
      </c>
      <c r="C30" s="6">
        <v>6478346234</v>
      </c>
      <c r="D30" s="6" t="s">
        <v>13</v>
      </c>
      <c r="E30" s="6" t="s">
        <v>6</v>
      </c>
      <c r="F30" s="6">
        <v>13</v>
      </c>
      <c r="G30">
        <v>51</v>
      </c>
    </row>
    <row r="31" spans="1:7" x14ac:dyDescent="0.25">
      <c r="A31" s="11">
        <v>45647</v>
      </c>
      <c r="B31" s="7" t="s">
        <v>24</v>
      </c>
      <c r="C31" s="7">
        <v>602615</v>
      </c>
      <c r="D31" s="7" t="s">
        <v>5</v>
      </c>
      <c r="E31" s="7" t="s">
        <v>6</v>
      </c>
      <c r="F31" s="7">
        <v>13</v>
      </c>
      <c r="G31">
        <v>51</v>
      </c>
    </row>
  </sheetData>
  <sortState xmlns:xlrd2="http://schemas.microsoft.com/office/spreadsheetml/2017/richdata2" ref="A2:G31">
    <sortCondition ref="G2:G31"/>
  </sortState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FDEEB-D05B-4627-8F67-38AC0FBB38D6}">
  <sheetPr codeName="Sheet9"/>
  <dimension ref="A1:G34"/>
  <sheetViews>
    <sheetView workbookViewId="0">
      <selection activeCell="A2" sqref="A2:G34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45661</v>
      </c>
      <c r="B2" s="6" t="s">
        <v>23</v>
      </c>
      <c r="C2" s="6">
        <v>7864</v>
      </c>
      <c r="D2" s="6" t="s">
        <v>1</v>
      </c>
      <c r="E2" s="6" t="s">
        <v>22</v>
      </c>
      <c r="F2" s="6">
        <v>23</v>
      </c>
      <c r="G2">
        <v>1</v>
      </c>
    </row>
    <row r="3" spans="1:7" x14ac:dyDescent="0.25">
      <c r="A3" s="11">
        <v>45661</v>
      </c>
      <c r="B3" s="7" t="s">
        <v>23</v>
      </c>
      <c r="C3" s="7">
        <v>6478346234</v>
      </c>
      <c r="D3" s="7" t="s">
        <v>13</v>
      </c>
      <c r="E3" s="7" t="s">
        <v>6</v>
      </c>
      <c r="F3" s="7">
        <v>-34</v>
      </c>
      <c r="G3">
        <v>1</v>
      </c>
    </row>
    <row r="4" spans="1:7" x14ac:dyDescent="0.25">
      <c r="A4" s="10">
        <v>45661</v>
      </c>
      <c r="B4" s="6" t="s">
        <v>23</v>
      </c>
      <c r="C4" s="6">
        <v>6478346234</v>
      </c>
      <c r="D4" s="6" t="s">
        <v>13</v>
      </c>
      <c r="E4" s="6" t="s">
        <v>6</v>
      </c>
      <c r="F4" s="6">
        <v>-35</v>
      </c>
      <c r="G4">
        <v>1</v>
      </c>
    </row>
    <row r="5" spans="1:7" x14ac:dyDescent="0.25">
      <c r="A5" s="11">
        <v>45661</v>
      </c>
      <c r="B5" s="7" t="s">
        <v>23</v>
      </c>
      <c r="C5" s="7">
        <v>6478346234</v>
      </c>
      <c r="D5" s="7" t="s">
        <v>13</v>
      </c>
      <c r="E5" s="7" t="s">
        <v>6</v>
      </c>
      <c r="F5" s="7">
        <v>23</v>
      </c>
      <c r="G5">
        <v>1</v>
      </c>
    </row>
    <row r="6" spans="1:7" x14ac:dyDescent="0.25">
      <c r="A6" s="11">
        <v>45661</v>
      </c>
      <c r="B6" s="7" t="s">
        <v>23</v>
      </c>
      <c r="C6" s="7">
        <v>354</v>
      </c>
      <c r="D6" s="7" t="s">
        <v>16</v>
      </c>
      <c r="E6" s="7" t="s">
        <v>19</v>
      </c>
      <c r="F6" s="7">
        <v>19</v>
      </c>
      <c r="G6">
        <v>1</v>
      </c>
    </row>
    <row r="7" spans="1:7" x14ac:dyDescent="0.25">
      <c r="A7" s="11">
        <v>45668</v>
      </c>
      <c r="B7" s="7" t="s">
        <v>21</v>
      </c>
      <c r="C7" s="7">
        <v>63553</v>
      </c>
      <c r="D7" s="7" t="s">
        <v>14</v>
      </c>
      <c r="E7" s="7" t="s">
        <v>17</v>
      </c>
      <c r="F7" s="7">
        <v>11</v>
      </c>
      <c r="G7">
        <v>2</v>
      </c>
    </row>
    <row r="8" spans="1:7" x14ac:dyDescent="0.25">
      <c r="A8" s="10">
        <v>45668</v>
      </c>
      <c r="B8" s="6" t="s">
        <v>21</v>
      </c>
      <c r="C8" s="6">
        <v>23456</v>
      </c>
      <c r="D8" s="6" t="s">
        <v>3</v>
      </c>
      <c r="E8" s="6" t="s">
        <v>4</v>
      </c>
      <c r="F8" s="6">
        <v>16</v>
      </c>
      <c r="G8">
        <v>2</v>
      </c>
    </row>
    <row r="9" spans="1:7" x14ac:dyDescent="0.25">
      <c r="A9" s="11">
        <v>45668</v>
      </c>
      <c r="B9" s="7" t="s">
        <v>21</v>
      </c>
      <c r="C9" s="7">
        <v>7864</v>
      </c>
      <c r="D9" s="7" t="s">
        <v>1</v>
      </c>
      <c r="E9" s="7" t="s">
        <v>22</v>
      </c>
      <c r="F9" s="7">
        <v>12</v>
      </c>
      <c r="G9">
        <v>2</v>
      </c>
    </row>
    <row r="10" spans="1:7" x14ac:dyDescent="0.25">
      <c r="A10" s="10">
        <v>45668</v>
      </c>
      <c r="B10" s="6" t="s">
        <v>21</v>
      </c>
      <c r="C10" s="6">
        <v>602615</v>
      </c>
      <c r="D10" s="6" t="s">
        <v>5</v>
      </c>
      <c r="E10" s="6" t="s">
        <v>6</v>
      </c>
      <c r="F10" s="6">
        <v>13</v>
      </c>
      <c r="G10">
        <v>2</v>
      </c>
    </row>
    <row r="11" spans="1:7" x14ac:dyDescent="0.25">
      <c r="A11" s="10">
        <v>45675</v>
      </c>
      <c r="B11" s="6" t="s">
        <v>20</v>
      </c>
      <c r="C11" s="6">
        <v>63553</v>
      </c>
      <c r="D11" s="6" t="s">
        <v>14</v>
      </c>
      <c r="E11" s="6" t="s">
        <v>17</v>
      </c>
      <c r="F11" s="6">
        <v>45</v>
      </c>
      <c r="G11">
        <v>3</v>
      </c>
    </row>
    <row r="12" spans="1:7" x14ac:dyDescent="0.25">
      <c r="A12" s="11">
        <v>45675</v>
      </c>
      <c r="B12" s="7" t="s">
        <v>20</v>
      </c>
      <c r="C12" s="7">
        <v>23456</v>
      </c>
      <c r="D12" s="7" t="s">
        <v>3</v>
      </c>
      <c r="E12" s="7" t="s">
        <v>4</v>
      </c>
      <c r="F12" s="7">
        <v>23</v>
      </c>
      <c r="G12">
        <v>3</v>
      </c>
    </row>
    <row r="13" spans="1:7" x14ac:dyDescent="0.25">
      <c r="A13" s="10">
        <v>45675</v>
      </c>
      <c r="B13" s="6" t="s">
        <v>20</v>
      </c>
      <c r="C13" s="6">
        <v>6478346234</v>
      </c>
      <c r="D13" s="6" t="s">
        <v>13</v>
      </c>
      <c r="E13" s="6" t="s">
        <v>6</v>
      </c>
      <c r="F13" s="6">
        <v>56</v>
      </c>
      <c r="G13">
        <v>3</v>
      </c>
    </row>
    <row r="14" spans="1:7" x14ac:dyDescent="0.25">
      <c r="A14" s="11">
        <v>45675</v>
      </c>
      <c r="B14" s="7" t="s">
        <v>20</v>
      </c>
      <c r="C14" s="7">
        <v>6478346234</v>
      </c>
      <c r="D14" s="7" t="s">
        <v>13</v>
      </c>
      <c r="E14" s="7" t="s">
        <v>6</v>
      </c>
      <c r="F14" s="7">
        <v>5</v>
      </c>
      <c r="G14">
        <v>3</v>
      </c>
    </row>
    <row r="15" spans="1:7" x14ac:dyDescent="0.25">
      <c r="A15" s="10">
        <v>45675</v>
      </c>
      <c r="B15" s="12" t="s">
        <v>20</v>
      </c>
      <c r="C15" s="6">
        <v>76487</v>
      </c>
      <c r="D15" s="6" t="s">
        <v>1</v>
      </c>
      <c r="E15" s="6" t="s">
        <v>18</v>
      </c>
      <c r="F15" s="6">
        <v>56</v>
      </c>
      <c r="G15">
        <v>3</v>
      </c>
    </row>
    <row r="16" spans="1:7" x14ac:dyDescent="0.25">
      <c r="A16" s="11">
        <v>45675</v>
      </c>
      <c r="B16" s="7" t="s">
        <v>20</v>
      </c>
      <c r="C16" s="7">
        <v>63553</v>
      </c>
      <c r="D16" s="7" t="s">
        <v>14</v>
      </c>
      <c r="E16" s="7" t="s">
        <v>17</v>
      </c>
      <c r="F16" s="7">
        <v>22</v>
      </c>
      <c r="G16">
        <v>3</v>
      </c>
    </row>
    <row r="17" spans="1:7" x14ac:dyDescent="0.25">
      <c r="A17" s="10">
        <v>45675</v>
      </c>
      <c r="B17" s="6" t="s">
        <v>20</v>
      </c>
      <c r="C17" s="6">
        <v>63553</v>
      </c>
      <c r="D17" s="6" t="s">
        <v>14</v>
      </c>
      <c r="E17" s="6" t="s">
        <v>17</v>
      </c>
      <c r="F17" s="6">
        <v>22</v>
      </c>
      <c r="G17">
        <v>3</v>
      </c>
    </row>
    <row r="18" spans="1:7" x14ac:dyDescent="0.25">
      <c r="A18" s="11">
        <v>45675</v>
      </c>
      <c r="B18" s="7" t="s">
        <v>20</v>
      </c>
      <c r="C18" s="7">
        <v>63553</v>
      </c>
      <c r="D18" s="7" t="s">
        <v>14</v>
      </c>
      <c r="E18" s="7" t="s">
        <v>17</v>
      </c>
      <c r="F18" s="7">
        <v>22</v>
      </c>
      <c r="G18">
        <v>3</v>
      </c>
    </row>
    <row r="19" spans="1:7" x14ac:dyDescent="0.25">
      <c r="A19" s="10">
        <v>45675</v>
      </c>
      <c r="B19" s="6" t="s">
        <v>20</v>
      </c>
      <c r="C19" s="6">
        <v>63553</v>
      </c>
      <c r="D19" s="6" t="s">
        <v>14</v>
      </c>
      <c r="E19" s="6" t="s">
        <v>17</v>
      </c>
      <c r="F19" s="6">
        <v>11</v>
      </c>
      <c r="G19">
        <v>3</v>
      </c>
    </row>
    <row r="20" spans="1:7" x14ac:dyDescent="0.25">
      <c r="A20" s="11">
        <v>45675</v>
      </c>
      <c r="B20" s="7" t="s">
        <v>20</v>
      </c>
      <c r="C20" s="7">
        <v>7463734</v>
      </c>
      <c r="D20" s="7" t="s">
        <v>16</v>
      </c>
      <c r="E20" s="7" t="s">
        <v>6</v>
      </c>
      <c r="F20" s="7">
        <v>13</v>
      </c>
      <c r="G20">
        <v>3</v>
      </c>
    </row>
    <row r="21" spans="1:7" x14ac:dyDescent="0.25">
      <c r="A21" s="10">
        <v>45675</v>
      </c>
      <c r="B21" s="6" t="s">
        <v>20</v>
      </c>
      <c r="C21" s="6">
        <v>63553</v>
      </c>
      <c r="D21" s="6" t="s">
        <v>14</v>
      </c>
      <c r="E21" s="6" t="s">
        <v>17</v>
      </c>
      <c r="F21" s="6">
        <v>11</v>
      </c>
      <c r="G21">
        <v>3</v>
      </c>
    </row>
    <row r="22" spans="1:7" x14ac:dyDescent="0.25">
      <c r="A22" s="11">
        <v>45689</v>
      </c>
      <c r="B22" s="7" t="s">
        <v>25</v>
      </c>
      <c r="C22" s="7">
        <v>354</v>
      </c>
      <c r="D22" s="7" t="s">
        <v>16</v>
      </c>
      <c r="E22" s="7" t="s">
        <v>19</v>
      </c>
      <c r="F22" s="7">
        <v>19</v>
      </c>
      <c r="G22">
        <v>5</v>
      </c>
    </row>
    <row r="23" spans="1:7" x14ac:dyDescent="0.25">
      <c r="A23" s="10">
        <v>45689</v>
      </c>
      <c r="B23" s="6" t="s">
        <v>25</v>
      </c>
      <c r="C23" s="6">
        <v>354</v>
      </c>
      <c r="D23" s="6" t="s">
        <v>16</v>
      </c>
      <c r="E23" s="6" t="s">
        <v>19</v>
      </c>
      <c r="F23" s="6">
        <v>23</v>
      </c>
      <c r="G23">
        <v>5</v>
      </c>
    </row>
    <row r="24" spans="1:7" x14ac:dyDescent="0.25">
      <c r="A24" s="11">
        <v>45689</v>
      </c>
      <c r="B24" s="7" t="s">
        <v>25</v>
      </c>
      <c r="C24" s="7">
        <v>354</v>
      </c>
      <c r="D24" s="7" t="s">
        <v>16</v>
      </c>
      <c r="E24" s="7" t="s">
        <v>19</v>
      </c>
      <c r="F24" s="7">
        <v>23</v>
      </c>
      <c r="G24">
        <v>5</v>
      </c>
    </row>
    <row r="25" spans="1:7" x14ac:dyDescent="0.25">
      <c r="A25" s="10">
        <v>45689</v>
      </c>
      <c r="B25" s="6" t="s">
        <v>25</v>
      </c>
      <c r="C25" s="6">
        <v>354</v>
      </c>
      <c r="D25" s="6" t="s">
        <v>16</v>
      </c>
      <c r="E25" s="6" t="s">
        <v>19</v>
      </c>
      <c r="F25" s="6">
        <v>33</v>
      </c>
      <c r="G25">
        <v>5</v>
      </c>
    </row>
    <row r="26" spans="1:7" x14ac:dyDescent="0.25">
      <c r="A26" s="11">
        <v>45689</v>
      </c>
      <c r="B26" s="7" t="s">
        <v>25</v>
      </c>
      <c r="C26" s="7">
        <v>354</v>
      </c>
      <c r="D26" s="7" t="s">
        <v>16</v>
      </c>
      <c r="E26" s="7" t="s">
        <v>19</v>
      </c>
      <c r="F26" s="7">
        <v>1000000</v>
      </c>
      <c r="G26">
        <v>5</v>
      </c>
    </row>
    <row r="27" spans="1:7" x14ac:dyDescent="0.25">
      <c r="A27" s="10">
        <v>45707</v>
      </c>
      <c r="B27" s="6" t="s">
        <v>32</v>
      </c>
      <c r="C27" s="6">
        <v>354</v>
      </c>
      <c r="D27" s="6" t="s">
        <v>16</v>
      </c>
      <c r="E27" s="6" t="s">
        <v>19</v>
      </c>
      <c r="F27" s="6">
        <v>1234</v>
      </c>
      <c r="G27">
        <v>8</v>
      </c>
    </row>
    <row r="28" spans="1:7" x14ac:dyDescent="0.25">
      <c r="A28" s="11">
        <v>45707</v>
      </c>
      <c r="B28" s="7" t="s">
        <v>32</v>
      </c>
      <c r="C28" s="7">
        <v>354</v>
      </c>
      <c r="D28" s="7" t="s">
        <v>16</v>
      </c>
      <c r="E28" s="7" t="s">
        <v>19</v>
      </c>
      <c r="F28" s="7">
        <v>1234</v>
      </c>
      <c r="G28">
        <v>8</v>
      </c>
    </row>
    <row r="29" spans="1:7" x14ac:dyDescent="0.25">
      <c r="A29" s="10">
        <v>45707</v>
      </c>
      <c r="B29" s="6" t="s">
        <v>32</v>
      </c>
      <c r="C29" s="6">
        <v>354</v>
      </c>
      <c r="D29" s="6" t="s">
        <v>16</v>
      </c>
      <c r="E29" s="6" t="s">
        <v>19</v>
      </c>
      <c r="F29" s="6">
        <v>1234</v>
      </c>
      <c r="G29">
        <v>8</v>
      </c>
    </row>
    <row r="30" spans="1:7" x14ac:dyDescent="0.25">
      <c r="A30" s="10">
        <v>45720</v>
      </c>
      <c r="B30" s="6" t="s">
        <v>23</v>
      </c>
      <c r="C30" s="6">
        <v>354</v>
      </c>
      <c r="D30" s="6" t="s">
        <v>16</v>
      </c>
      <c r="E30" s="6" t="s">
        <v>19</v>
      </c>
      <c r="F30" s="6">
        <v>19</v>
      </c>
      <c r="G30">
        <v>10</v>
      </c>
    </row>
    <row r="31" spans="1:7" x14ac:dyDescent="0.25">
      <c r="A31" s="11">
        <v>45751</v>
      </c>
      <c r="B31" s="7" t="s">
        <v>23</v>
      </c>
      <c r="C31" s="7">
        <v>7463734</v>
      </c>
      <c r="D31" s="7" t="s">
        <v>16</v>
      </c>
      <c r="E31" s="7" t="s">
        <v>6</v>
      </c>
      <c r="F31" s="7">
        <v>13</v>
      </c>
      <c r="G31">
        <v>14</v>
      </c>
    </row>
    <row r="32" spans="1:7" x14ac:dyDescent="0.25">
      <c r="A32" s="10">
        <v>45781</v>
      </c>
      <c r="B32" s="6" t="s">
        <v>23</v>
      </c>
      <c r="C32" s="6">
        <v>661971</v>
      </c>
      <c r="D32" s="6" t="s">
        <v>15</v>
      </c>
      <c r="E32" s="6" t="s">
        <v>7</v>
      </c>
      <c r="F32" s="6">
        <v>16</v>
      </c>
      <c r="G32">
        <v>19</v>
      </c>
    </row>
    <row r="33" spans="1:7" x14ac:dyDescent="0.25">
      <c r="A33" s="10">
        <v>45647</v>
      </c>
      <c r="B33" s="6" t="s">
        <v>24</v>
      </c>
      <c r="C33" s="6">
        <v>6478346234</v>
      </c>
      <c r="D33" s="6" t="s">
        <v>13</v>
      </c>
      <c r="E33" s="6" t="s">
        <v>6</v>
      </c>
      <c r="F33" s="6">
        <v>13</v>
      </c>
      <c r="G33">
        <v>51</v>
      </c>
    </row>
    <row r="34" spans="1:7" x14ac:dyDescent="0.25">
      <c r="A34" s="11">
        <v>45647</v>
      </c>
      <c r="B34" s="7" t="s">
        <v>24</v>
      </c>
      <c r="C34" s="7">
        <v>602615</v>
      </c>
      <c r="D34" s="7" t="s">
        <v>5</v>
      </c>
      <c r="E34" s="7" t="s">
        <v>6</v>
      </c>
      <c r="F34" s="7">
        <v>13</v>
      </c>
      <c r="G34">
        <v>51</v>
      </c>
    </row>
  </sheetData>
  <sortState xmlns:xlrd2="http://schemas.microsoft.com/office/spreadsheetml/2017/richdata2" ref="A2:G34">
    <sortCondition ref="G2:G34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090D5-0625-4BCA-8B14-0167DB63A42F}">
  <sheetPr codeName="Sheet10"/>
  <dimension ref="A1:G35"/>
  <sheetViews>
    <sheetView workbookViewId="0">
      <selection activeCell="A2" sqref="A2:G35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45661</v>
      </c>
      <c r="B2" s="6" t="s">
        <v>23</v>
      </c>
      <c r="C2" s="6">
        <v>7864</v>
      </c>
      <c r="D2" s="6" t="s">
        <v>1</v>
      </c>
      <c r="E2" s="6" t="s">
        <v>22</v>
      </c>
      <c r="F2" s="6">
        <v>23</v>
      </c>
      <c r="G2">
        <v>1</v>
      </c>
    </row>
    <row r="3" spans="1:7" x14ac:dyDescent="0.25">
      <c r="A3" s="11">
        <v>45661</v>
      </c>
      <c r="B3" s="7" t="s">
        <v>23</v>
      </c>
      <c r="C3" s="7">
        <v>6478346234</v>
      </c>
      <c r="D3" s="7" t="s">
        <v>13</v>
      </c>
      <c r="E3" s="7" t="s">
        <v>6</v>
      </c>
      <c r="F3" s="7">
        <v>-34</v>
      </c>
      <c r="G3">
        <v>1</v>
      </c>
    </row>
    <row r="4" spans="1:7" x14ac:dyDescent="0.25">
      <c r="A4" s="10">
        <v>45661</v>
      </c>
      <c r="B4" s="6" t="s">
        <v>23</v>
      </c>
      <c r="C4" s="6">
        <v>6478346234</v>
      </c>
      <c r="D4" s="6" t="s">
        <v>13</v>
      </c>
      <c r="E4" s="6" t="s">
        <v>6</v>
      </c>
      <c r="F4" s="6">
        <v>-35</v>
      </c>
      <c r="G4">
        <v>1</v>
      </c>
    </row>
    <row r="5" spans="1:7" x14ac:dyDescent="0.25">
      <c r="A5" s="11">
        <v>45661</v>
      </c>
      <c r="B5" s="7" t="s">
        <v>23</v>
      </c>
      <c r="C5" s="7">
        <v>6478346234</v>
      </c>
      <c r="D5" s="7" t="s">
        <v>13</v>
      </c>
      <c r="E5" s="7" t="s">
        <v>6</v>
      </c>
      <c r="F5" s="7">
        <v>23</v>
      </c>
      <c r="G5">
        <v>1</v>
      </c>
    </row>
    <row r="6" spans="1:7" x14ac:dyDescent="0.25">
      <c r="A6" s="11">
        <v>45661</v>
      </c>
      <c r="B6" s="7" t="s">
        <v>23</v>
      </c>
      <c r="C6" s="7">
        <v>354</v>
      </c>
      <c r="D6" s="7" t="s">
        <v>16</v>
      </c>
      <c r="E6" s="7" t="s">
        <v>19</v>
      </c>
      <c r="F6" s="7">
        <v>19</v>
      </c>
      <c r="G6">
        <v>1</v>
      </c>
    </row>
    <row r="7" spans="1:7" x14ac:dyDescent="0.25">
      <c r="A7" s="11">
        <v>45668</v>
      </c>
      <c r="B7" s="7" t="s">
        <v>21</v>
      </c>
      <c r="C7" s="7">
        <v>63553</v>
      </c>
      <c r="D7" s="7" t="s">
        <v>14</v>
      </c>
      <c r="E7" s="7" t="s">
        <v>17</v>
      </c>
      <c r="F7" s="7">
        <v>11</v>
      </c>
      <c r="G7">
        <v>2</v>
      </c>
    </row>
    <row r="8" spans="1:7" x14ac:dyDescent="0.25">
      <c r="A8" s="10">
        <v>45668</v>
      </c>
      <c r="B8" s="6" t="s">
        <v>21</v>
      </c>
      <c r="C8" s="6">
        <v>23456</v>
      </c>
      <c r="D8" s="6" t="s">
        <v>3</v>
      </c>
      <c r="E8" s="6" t="s">
        <v>4</v>
      </c>
      <c r="F8" s="6">
        <v>16</v>
      </c>
      <c r="G8">
        <v>2</v>
      </c>
    </row>
    <row r="9" spans="1:7" x14ac:dyDescent="0.25">
      <c r="A9" s="11">
        <v>45668</v>
      </c>
      <c r="B9" s="7" t="s">
        <v>21</v>
      </c>
      <c r="C9" s="7">
        <v>7864</v>
      </c>
      <c r="D9" s="7" t="s">
        <v>1</v>
      </c>
      <c r="E9" s="7" t="s">
        <v>22</v>
      </c>
      <c r="F9" s="7">
        <v>12</v>
      </c>
      <c r="G9">
        <v>2</v>
      </c>
    </row>
    <row r="10" spans="1:7" x14ac:dyDescent="0.25">
      <c r="A10" s="10">
        <v>45668</v>
      </c>
      <c r="B10" s="6" t="s">
        <v>21</v>
      </c>
      <c r="C10" s="6">
        <v>602615</v>
      </c>
      <c r="D10" s="6" t="s">
        <v>5</v>
      </c>
      <c r="E10" s="6" t="s">
        <v>6</v>
      </c>
      <c r="F10" s="6">
        <v>13</v>
      </c>
      <c r="G10">
        <v>2</v>
      </c>
    </row>
    <row r="11" spans="1:7" x14ac:dyDescent="0.25">
      <c r="A11" s="10">
        <v>45675</v>
      </c>
      <c r="B11" s="6" t="s">
        <v>20</v>
      </c>
      <c r="C11" s="6">
        <v>63553</v>
      </c>
      <c r="D11" s="6" t="s">
        <v>14</v>
      </c>
      <c r="E11" s="6" t="s">
        <v>17</v>
      </c>
      <c r="F11" s="6">
        <v>45</v>
      </c>
      <c r="G11">
        <v>3</v>
      </c>
    </row>
    <row r="12" spans="1:7" x14ac:dyDescent="0.25">
      <c r="A12" s="11">
        <v>45675</v>
      </c>
      <c r="B12" s="7" t="s">
        <v>20</v>
      </c>
      <c r="C12" s="7">
        <v>23456</v>
      </c>
      <c r="D12" s="7" t="s">
        <v>3</v>
      </c>
      <c r="E12" s="7" t="s">
        <v>4</v>
      </c>
      <c r="F12" s="7">
        <v>23</v>
      </c>
      <c r="G12">
        <v>3</v>
      </c>
    </row>
    <row r="13" spans="1:7" x14ac:dyDescent="0.25">
      <c r="A13" s="10">
        <v>45675</v>
      </c>
      <c r="B13" s="6" t="s">
        <v>20</v>
      </c>
      <c r="C13" s="6">
        <v>6478346234</v>
      </c>
      <c r="D13" s="6" t="s">
        <v>13</v>
      </c>
      <c r="E13" s="6" t="s">
        <v>6</v>
      </c>
      <c r="F13" s="6">
        <v>56</v>
      </c>
      <c r="G13">
        <v>3</v>
      </c>
    </row>
    <row r="14" spans="1:7" x14ac:dyDescent="0.25">
      <c r="A14" s="11">
        <v>45675</v>
      </c>
      <c r="B14" s="7" t="s">
        <v>20</v>
      </c>
      <c r="C14" s="7">
        <v>6478346234</v>
      </c>
      <c r="D14" s="7" t="s">
        <v>13</v>
      </c>
      <c r="E14" s="7" t="s">
        <v>6</v>
      </c>
      <c r="F14" s="7">
        <v>5</v>
      </c>
      <c r="G14">
        <v>3</v>
      </c>
    </row>
    <row r="15" spans="1:7" x14ac:dyDescent="0.25">
      <c r="A15" s="10">
        <v>45675</v>
      </c>
      <c r="B15" s="12" t="s">
        <v>20</v>
      </c>
      <c r="C15" s="6">
        <v>76487</v>
      </c>
      <c r="D15" s="6" t="s">
        <v>1</v>
      </c>
      <c r="E15" s="6" t="s">
        <v>18</v>
      </c>
      <c r="F15" s="6">
        <v>56</v>
      </c>
      <c r="G15">
        <v>3</v>
      </c>
    </row>
    <row r="16" spans="1:7" x14ac:dyDescent="0.25">
      <c r="A16" s="11">
        <v>45675</v>
      </c>
      <c r="B16" s="7" t="s">
        <v>20</v>
      </c>
      <c r="C16" s="7">
        <v>63553</v>
      </c>
      <c r="D16" s="7" t="s">
        <v>14</v>
      </c>
      <c r="E16" s="7" t="s">
        <v>17</v>
      </c>
      <c r="F16" s="7">
        <v>22</v>
      </c>
      <c r="G16">
        <v>3</v>
      </c>
    </row>
    <row r="17" spans="1:7" x14ac:dyDescent="0.25">
      <c r="A17" s="10">
        <v>45675</v>
      </c>
      <c r="B17" s="6" t="s">
        <v>20</v>
      </c>
      <c r="C17" s="6">
        <v>63553</v>
      </c>
      <c r="D17" s="6" t="s">
        <v>14</v>
      </c>
      <c r="E17" s="6" t="s">
        <v>17</v>
      </c>
      <c r="F17" s="6">
        <v>22</v>
      </c>
      <c r="G17">
        <v>3</v>
      </c>
    </row>
    <row r="18" spans="1:7" x14ac:dyDescent="0.25">
      <c r="A18" s="11">
        <v>45675</v>
      </c>
      <c r="B18" s="7" t="s">
        <v>20</v>
      </c>
      <c r="C18" s="7">
        <v>63553</v>
      </c>
      <c r="D18" s="7" t="s">
        <v>14</v>
      </c>
      <c r="E18" s="7" t="s">
        <v>17</v>
      </c>
      <c r="F18" s="7">
        <v>22</v>
      </c>
      <c r="G18">
        <v>3</v>
      </c>
    </row>
    <row r="19" spans="1:7" x14ac:dyDescent="0.25">
      <c r="A19" s="10">
        <v>45675</v>
      </c>
      <c r="B19" s="6" t="s">
        <v>20</v>
      </c>
      <c r="C19" s="6">
        <v>63553</v>
      </c>
      <c r="D19" s="6" t="s">
        <v>14</v>
      </c>
      <c r="E19" s="6" t="s">
        <v>17</v>
      </c>
      <c r="F19" s="6">
        <v>11</v>
      </c>
      <c r="G19">
        <v>3</v>
      </c>
    </row>
    <row r="20" spans="1:7" x14ac:dyDescent="0.25">
      <c r="A20" s="11">
        <v>45675</v>
      </c>
      <c r="B20" s="7" t="s">
        <v>20</v>
      </c>
      <c r="C20" s="7">
        <v>7463734</v>
      </c>
      <c r="D20" s="7" t="s">
        <v>16</v>
      </c>
      <c r="E20" s="7" t="s">
        <v>6</v>
      </c>
      <c r="F20" s="7">
        <v>13</v>
      </c>
      <c r="G20">
        <v>3</v>
      </c>
    </row>
    <row r="21" spans="1:7" x14ac:dyDescent="0.25">
      <c r="A21" s="10">
        <v>45675</v>
      </c>
      <c r="B21" s="6" t="s">
        <v>20</v>
      </c>
      <c r="C21" s="6">
        <v>63553</v>
      </c>
      <c r="D21" s="6" t="s">
        <v>14</v>
      </c>
      <c r="E21" s="6" t="s">
        <v>17</v>
      </c>
      <c r="F21" s="6">
        <v>11</v>
      </c>
      <c r="G21">
        <v>3</v>
      </c>
    </row>
    <row r="22" spans="1:7" x14ac:dyDescent="0.25">
      <c r="A22" s="11">
        <v>45689</v>
      </c>
      <c r="B22" s="7" t="s">
        <v>25</v>
      </c>
      <c r="C22" s="7">
        <v>354</v>
      </c>
      <c r="D22" s="7" t="s">
        <v>16</v>
      </c>
      <c r="E22" s="7" t="s">
        <v>19</v>
      </c>
      <c r="F22" s="7">
        <v>19</v>
      </c>
      <c r="G22">
        <v>5</v>
      </c>
    </row>
    <row r="23" spans="1:7" x14ac:dyDescent="0.25">
      <c r="A23" s="10">
        <v>45689</v>
      </c>
      <c r="B23" s="6" t="s">
        <v>25</v>
      </c>
      <c r="C23" s="6">
        <v>354</v>
      </c>
      <c r="D23" s="6" t="s">
        <v>16</v>
      </c>
      <c r="E23" s="6" t="s">
        <v>19</v>
      </c>
      <c r="F23" s="6">
        <v>23</v>
      </c>
      <c r="G23">
        <v>5</v>
      </c>
    </row>
    <row r="24" spans="1:7" x14ac:dyDescent="0.25">
      <c r="A24" s="11">
        <v>45689</v>
      </c>
      <c r="B24" s="7" t="s">
        <v>25</v>
      </c>
      <c r="C24" s="7">
        <v>354</v>
      </c>
      <c r="D24" s="7" t="s">
        <v>16</v>
      </c>
      <c r="E24" s="7" t="s">
        <v>19</v>
      </c>
      <c r="F24" s="7">
        <v>23</v>
      </c>
      <c r="G24">
        <v>5</v>
      </c>
    </row>
    <row r="25" spans="1:7" x14ac:dyDescent="0.25">
      <c r="A25" s="10">
        <v>45689</v>
      </c>
      <c r="B25" s="6" t="s">
        <v>25</v>
      </c>
      <c r="C25" s="6">
        <v>354</v>
      </c>
      <c r="D25" s="6" t="s">
        <v>16</v>
      </c>
      <c r="E25" s="6" t="s">
        <v>19</v>
      </c>
      <c r="F25" s="6">
        <v>33</v>
      </c>
      <c r="G25">
        <v>5</v>
      </c>
    </row>
    <row r="26" spans="1:7" x14ac:dyDescent="0.25">
      <c r="A26" s="11">
        <v>45689</v>
      </c>
      <c r="B26" s="7" t="s">
        <v>25</v>
      </c>
      <c r="C26" s="7">
        <v>354</v>
      </c>
      <c r="D26" s="7" t="s">
        <v>16</v>
      </c>
      <c r="E26" s="7" t="s">
        <v>19</v>
      </c>
      <c r="F26" s="7">
        <v>20</v>
      </c>
      <c r="G26">
        <v>5</v>
      </c>
    </row>
    <row r="27" spans="1:7" x14ac:dyDescent="0.25">
      <c r="A27" s="10">
        <v>45707</v>
      </c>
      <c r="B27" s="6" t="s">
        <v>32</v>
      </c>
      <c r="C27" s="6">
        <v>354</v>
      </c>
      <c r="D27" s="6" t="s">
        <v>16</v>
      </c>
      <c r="E27" s="6" t="s">
        <v>19</v>
      </c>
      <c r="F27" s="6">
        <v>1234</v>
      </c>
      <c r="G27">
        <v>8</v>
      </c>
    </row>
    <row r="28" spans="1:7" x14ac:dyDescent="0.25">
      <c r="A28" s="11">
        <v>45707</v>
      </c>
      <c r="B28" s="7" t="s">
        <v>32</v>
      </c>
      <c r="C28" s="7">
        <v>354</v>
      </c>
      <c r="D28" s="7" t="s">
        <v>16</v>
      </c>
      <c r="E28" s="7" t="s">
        <v>19</v>
      </c>
      <c r="F28" s="7">
        <v>1234</v>
      </c>
      <c r="G28">
        <v>8</v>
      </c>
    </row>
    <row r="29" spans="1:7" x14ac:dyDescent="0.25">
      <c r="A29" s="10">
        <v>45707</v>
      </c>
      <c r="B29" s="6" t="s">
        <v>32</v>
      </c>
      <c r="C29" s="6">
        <v>354</v>
      </c>
      <c r="D29" s="6" t="s">
        <v>16</v>
      </c>
      <c r="E29" s="6" t="s">
        <v>19</v>
      </c>
      <c r="F29" s="6">
        <v>1234</v>
      </c>
      <c r="G29">
        <v>8</v>
      </c>
    </row>
    <row r="30" spans="1:7" x14ac:dyDescent="0.25">
      <c r="A30" s="11">
        <v>45707</v>
      </c>
      <c r="B30" s="7" t="s">
        <v>32</v>
      </c>
      <c r="C30" s="7">
        <v>354</v>
      </c>
      <c r="D30" s="7" t="s">
        <v>16</v>
      </c>
      <c r="E30" s="7" t="s">
        <v>19</v>
      </c>
      <c r="F30" s="7">
        <v>1234</v>
      </c>
      <c r="G30">
        <v>8</v>
      </c>
    </row>
    <row r="31" spans="1:7" x14ac:dyDescent="0.25">
      <c r="A31" s="10">
        <v>45720</v>
      </c>
      <c r="B31" s="6" t="s">
        <v>23</v>
      </c>
      <c r="C31" s="6">
        <v>354</v>
      </c>
      <c r="D31" s="6" t="s">
        <v>16</v>
      </c>
      <c r="E31" s="6" t="s">
        <v>19</v>
      </c>
      <c r="F31" s="6">
        <v>19</v>
      </c>
      <c r="G31">
        <v>10</v>
      </c>
    </row>
    <row r="32" spans="1:7" x14ac:dyDescent="0.25">
      <c r="A32" s="11">
        <v>45751</v>
      </c>
      <c r="B32" s="7" t="s">
        <v>23</v>
      </c>
      <c r="C32" s="7">
        <v>7463734</v>
      </c>
      <c r="D32" s="7" t="s">
        <v>16</v>
      </c>
      <c r="E32" s="7" t="s">
        <v>6</v>
      </c>
      <c r="F32" s="7">
        <v>13</v>
      </c>
      <c r="G32">
        <v>14</v>
      </c>
    </row>
    <row r="33" spans="1:7" x14ac:dyDescent="0.25">
      <c r="A33" s="10">
        <v>45781</v>
      </c>
      <c r="B33" s="6" t="s">
        <v>23</v>
      </c>
      <c r="C33" s="6">
        <v>661971</v>
      </c>
      <c r="D33" s="6" t="s">
        <v>15</v>
      </c>
      <c r="E33" s="6" t="s">
        <v>7</v>
      </c>
      <c r="F33" s="6">
        <v>16</v>
      </c>
      <c r="G33">
        <v>19</v>
      </c>
    </row>
    <row r="34" spans="1:7" x14ac:dyDescent="0.25">
      <c r="A34" s="10">
        <v>45647</v>
      </c>
      <c r="B34" s="6" t="s">
        <v>24</v>
      </c>
      <c r="C34" s="6">
        <v>6478346234</v>
      </c>
      <c r="D34" s="6" t="s">
        <v>13</v>
      </c>
      <c r="E34" s="6" t="s">
        <v>6</v>
      </c>
      <c r="F34" s="6">
        <v>13</v>
      </c>
      <c r="G34">
        <v>51</v>
      </c>
    </row>
    <row r="35" spans="1:7" x14ac:dyDescent="0.25">
      <c r="A35" s="11">
        <v>45647</v>
      </c>
      <c r="B35" s="7" t="s">
        <v>24</v>
      </c>
      <c r="C35" s="7">
        <v>602615</v>
      </c>
      <c r="D35" s="7" t="s">
        <v>5</v>
      </c>
      <c r="E35" s="7" t="s">
        <v>6</v>
      </c>
      <c r="F35" s="7">
        <v>13</v>
      </c>
      <c r="G35">
        <v>51</v>
      </c>
    </row>
  </sheetData>
  <sortState xmlns:xlrd2="http://schemas.microsoft.com/office/spreadsheetml/2017/richdata2" ref="A2:G35">
    <sortCondition ref="G2:G35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1EF8C-3BEC-4D78-B1AA-C81843213047}">
  <sheetPr codeName="Sheet11"/>
  <dimension ref="A1:G44"/>
  <sheetViews>
    <sheetView workbookViewId="0">
      <selection activeCell="A2" sqref="A2:G44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45661</v>
      </c>
      <c r="B2" s="6" t="s">
        <v>23</v>
      </c>
      <c r="C2" s="6">
        <v>7864</v>
      </c>
      <c r="D2" s="6" t="s">
        <v>1</v>
      </c>
      <c r="E2" s="6" t="s">
        <v>22</v>
      </c>
      <c r="F2" s="6">
        <v>23</v>
      </c>
      <c r="G2">
        <v>1</v>
      </c>
    </row>
    <row r="3" spans="1:7" x14ac:dyDescent="0.25">
      <c r="A3" s="11">
        <v>45661</v>
      </c>
      <c r="B3" s="7" t="s">
        <v>23</v>
      </c>
      <c r="C3" s="7">
        <v>6478346234</v>
      </c>
      <c r="D3" s="7" t="s">
        <v>13</v>
      </c>
      <c r="E3" s="7" t="s">
        <v>6</v>
      </c>
      <c r="F3" s="7">
        <v>-34</v>
      </c>
      <c r="G3">
        <v>1</v>
      </c>
    </row>
    <row r="4" spans="1:7" x14ac:dyDescent="0.25">
      <c r="A4" s="10">
        <v>45661</v>
      </c>
      <c r="B4" s="6" t="s">
        <v>23</v>
      </c>
      <c r="C4" s="6">
        <v>6478346234</v>
      </c>
      <c r="D4" s="6" t="s">
        <v>13</v>
      </c>
      <c r="E4" s="6" t="s">
        <v>6</v>
      </c>
      <c r="F4" s="6">
        <v>-35</v>
      </c>
      <c r="G4">
        <v>1</v>
      </c>
    </row>
    <row r="5" spans="1:7" x14ac:dyDescent="0.25">
      <c r="A5" s="11">
        <v>45661</v>
      </c>
      <c r="B5" s="7" t="s">
        <v>23</v>
      </c>
      <c r="C5" s="7">
        <v>6478346234</v>
      </c>
      <c r="D5" s="7" t="s">
        <v>13</v>
      </c>
      <c r="E5" s="7" t="s">
        <v>6</v>
      </c>
      <c r="F5" s="7">
        <v>23</v>
      </c>
      <c r="G5">
        <v>1</v>
      </c>
    </row>
    <row r="6" spans="1:7" x14ac:dyDescent="0.25">
      <c r="A6" s="11">
        <v>45661</v>
      </c>
      <c r="B6" s="7" t="s">
        <v>23</v>
      </c>
      <c r="C6" s="7">
        <v>354</v>
      </c>
      <c r="D6" s="7" t="s">
        <v>16</v>
      </c>
      <c r="E6" s="7" t="s">
        <v>19</v>
      </c>
      <c r="F6" s="7">
        <v>19</v>
      </c>
      <c r="G6">
        <v>1</v>
      </c>
    </row>
    <row r="7" spans="1:7" x14ac:dyDescent="0.25">
      <c r="A7" s="11">
        <v>45668</v>
      </c>
      <c r="B7" s="7" t="s">
        <v>21</v>
      </c>
      <c r="C7" s="7">
        <v>63553</v>
      </c>
      <c r="D7" s="7" t="s">
        <v>14</v>
      </c>
      <c r="E7" s="7" t="s">
        <v>17</v>
      </c>
      <c r="F7" s="7">
        <v>11</v>
      </c>
      <c r="G7">
        <v>2</v>
      </c>
    </row>
    <row r="8" spans="1:7" x14ac:dyDescent="0.25">
      <c r="A8" s="10">
        <v>45668</v>
      </c>
      <c r="B8" s="6" t="s">
        <v>21</v>
      </c>
      <c r="C8" s="6">
        <v>23456</v>
      </c>
      <c r="D8" s="6" t="s">
        <v>3</v>
      </c>
      <c r="E8" s="6" t="s">
        <v>4</v>
      </c>
      <c r="F8" s="6">
        <v>16</v>
      </c>
      <c r="G8">
        <v>2</v>
      </c>
    </row>
    <row r="9" spans="1:7" x14ac:dyDescent="0.25">
      <c r="A9" s="11">
        <v>45668</v>
      </c>
      <c r="B9" s="7" t="s">
        <v>21</v>
      </c>
      <c r="C9" s="7">
        <v>7864</v>
      </c>
      <c r="D9" s="7" t="s">
        <v>1</v>
      </c>
      <c r="E9" s="7" t="s">
        <v>22</v>
      </c>
      <c r="F9" s="7">
        <v>12</v>
      </c>
      <c r="G9">
        <v>2</v>
      </c>
    </row>
    <row r="10" spans="1:7" x14ac:dyDescent="0.25">
      <c r="A10" s="10">
        <v>45668</v>
      </c>
      <c r="B10" s="6" t="s">
        <v>21</v>
      </c>
      <c r="C10" s="6">
        <v>602615</v>
      </c>
      <c r="D10" s="6" t="s">
        <v>5</v>
      </c>
      <c r="E10" s="6" t="s">
        <v>6</v>
      </c>
      <c r="F10" s="6">
        <v>13</v>
      </c>
      <c r="G10">
        <v>2</v>
      </c>
    </row>
    <row r="11" spans="1:7" x14ac:dyDescent="0.25">
      <c r="A11" s="10">
        <v>45675</v>
      </c>
      <c r="B11" s="6" t="s">
        <v>20</v>
      </c>
      <c r="C11" s="6">
        <v>63553</v>
      </c>
      <c r="D11" s="6" t="s">
        <v>14</v>
      </c>
      <c r="E11" s="6" t="s">
        <v>17</v>
      </c>
      <c r="F11" s="6">
        <v>45</v>
      </c>
      <c r="G11">
        <v>3</v>
      </c>
    </row>
    <row r="12" spans="1:7" x14ac:dyDescent="0.25">
      <c r="A12" s="11">
        <v>45675</v>
      </c>
      <c r="B12" s="7" t="s">
        <v>20</v>
      </c>
      <c r="C12" s="7">
        <v>23456</v>
      </c>
      <c r="D12" s="7" t="s">
        <v>3</v>
      </c>
      <c r="E12" s="7" t="s">
        <v>4</v>
      </c>
      <c r="F12" s="7">
        <v>23</v>
      </c>
      <c r="G12">
        <v>3</v>
      </c>
    </row>
    <row r="13" spans="1:7" x14ac:dyDescent="0.25">
      <c r="A13" s="10">
        <v>45675</v>
      </c>
      <c r="B13" s="6" t="s">
        <v>20</v>
      </c>
      <c r="C13" s="6">
        <v>6478346234</v>
      </c>
      <c r="D13" s="6" t="s">
        <v>13</v>
      </c>
      <c r="E13" s="6" t="s">
        <v>6</v>
      </c>
      <c r="F13" s="6">
        <v>56</v>
      </c>
      <c r="G13">
        <v>3</v>
      </c>
    </row>
    <row r="14" spans="1:7" x14ac:dyDescent="0.25">
      <c r="A14" s="11">
        <v>45675</v>
      </c>
      <c r="B14" s="7" t="s">
        <v>20</v>
      </c>
      <c r="C14" s="7">
        <v>6478346234</v>
      </c>
      <c r="D14" s="7" t="s">
        <v>13</v>
      </c>
      <c r="E14" s="7" t="s">
        <v>6</v>
      </c>
      <c r="F14" s="7">
        <v>5</v>
      </c>
      <c r="G14">
        <v>3</v>
      </c>
    </row>
    <row r="15" spans="1:7" x14ac:dyDescent="0.25">
      <c r="A15" s="10">
        <v>45675</v>
      </c>
      <c r="B15" s="12" t="s">
        <v>20</v>
      </c>
      <c r="C15" s="6">
        <v>76487</v>
      </c>
      <c r="D15" s="6" t="s">
        <v>1</v>
      </c>
      <c r="E15" s="6" t="s">
        <v>18</v>
      </c>
      <c r="F15" s="6">
        <v>56</v>
      </c>
      <c r="G15">
        <v>3</v>
      </c>
    </row>
    <row r="16" spans="1:7" x14ac:dyDescent="0.25">
      <c r="A16" s="11">
        <v>45675</v>
      </c>
      <c r="B16" s="7" t="s">
        <v>20</v>
      </c>
      <c r="C16" s="7">
        <v>63553</v>
      </c>
      <c r="D16" s="7" t="s">
        <v>14</v>
      </c>
      <c r="E16" s="7" t="s">
        <v>17</v>
      </c>
      <c r="F16" s="7">
        <v>22</v>
      </c>
      <c r="G16">
        <v>3</v>
      </c>
    </row>
    <row r="17" spans="1:7" x14ac:dyDescent="0.25">
      <c r="A17" s="10">
        <v>45675</v>
      </c>
      <c r="B17" s="6" t="s">
        <v>20</v>
      </c>
      <c r="C17" s="6">
        <v>63553</v>
      </c>
      <c r="D17" s="6" t="s">
        <v>14</v>
      </c>
      <c r="E17" s="6" t="s">
        <v>17</v>
      </c>
      <c r="F17" s="6">
        <v>22</v>
      </c>
      <c r="G17">
        <v>3</v>
      </c>
    </row>
    <row r="18" spans="1:7" x14ac:dyDescent="0.25">
      <c r="A18" s="11">
        <v>45675</v>
      </c>
      <c r="B18" s="7" t="s">
        <v>20</v>
      </c>
      <c r="C18" s="7">
        <v>63553</v>
      </c>
      <c r="D18" s="7" t="s">
        <v>14</v>
      </c>
      <c r="E18" s="7" t="s">
        <v>17</v>
      </c>
      <c r="F18" s="7">
        <v>22</v>
      </c>
      <c r="G18">
        <v>3</v>
      </c>
    </row>
    <row r="19" spans="1:7" x14ac:dyDescent="0.25">
      <c r="A19" s="10">
        <v>45675</v>
      </c>
      <c r="B19" s="6" t="s">
        <v>20</v>
      </c>
      <c r="C19" s="6">
        <v>63553</v>
      </c>
      <c r="D19" s="6" t="s">
        <v>14</v>
      </c>
      <c r="E19" s="6" t="s">
        <v>17</v>
      </c>
      <c r="F19" s="6">
        <v>11</v>
      </c>
      <c r="G19">
        <v>3</v>
      </c>
    </row>
    <row r="20" spans="1:7" x14ac:dyDescent="0.25">
      <c r="A20" s="11">
        <v>45675</v>
      </c>
      <c r="B20" s="7" t="s">
        <v>20</v>
      </c>
      <c r="C20" s="7">
        <v>7463734</v>
      </c>
      <c r="D20" s="7" t="s">
        <v>16</v>
      </c>
      <c r="E20" s="7" t="s">
        <v>6</v>
      </c>
      <c r="F20" s="7">
        <v>13</v>
      </c>
      <c r="G20">
        <v>3</v>
      </c>
    </row>
    <row r="21" spans="1:7" x14ac:dyDescent="0.25">
      <c r="A21" s="10">
        <v>45675</v>
      </c>
      <c r="B21" s="6" t="s">
        <v>20</v>
      </c>
      <c r="C21" s="6">
        <v>63553</v>
      </c>
      <c r="D21" s="6" t="s">
        <v>14</v>
      </c>
      <c r="E21" s="6" t="s">
        <v>17</v>
      </c>
      <c r="F21" s="6">
        <v>11</v>
      </c>
      <c r="G21">
        <v>3</v>
      </c>
    </row>
    <row r="22" spans="1:7" x14ac:dyDescent="0.25">
      <c r="A22" s="11">
        <v>45689</v>
      </c>
      <c r="B22" s="7" t="s">
        <v>25</v>
      </c>
      <c r="C22" s="7">
        <v>354</v>
      </c>
      <c r="D22" s="7" t="s">
        <v>16</v>
      </c>
      <c r="E22" s="7" t="s">
        <v>19</v>
      </c>
      <c r="F22" s="7">
        <v>19</v>
      </c>
      <c r="G22">
        <v>5</v>
      </c>
    </row>
    <row r="23" spans="1:7" x14ac:dyDescent="0.25">
      <c r="A23" s="10">
        <v>45689</v>
      </c>
      <c r="B23" s="6" t="s">
        <v>25</v>
      </c>
      <c r="C23" s="6">
        <v>354</v>
      </c>
      <c r="D23" s="6" t="s">
        <v>16</v>
      </c>
      <c r="E23" s="6" t="s">
        <v>19</v>
      </c>
      <c r="F23" s="6">
        <v>23</v>
      </c>
      <c r="G23">
        <v>5</v>
      </c>
    </row>
    <row r="24" spans="1:7" x14ac:dyDescent="0.25">
      <c r="A24" s="11">
        <v>45689</v>
      </c>
      <c r="B24" s="7" t="s">
        <v>25</v>
      </c>
      <c r="C24" s="7">
        <v>354</v>
      </c>
      <c r="D24" s="7" t="s">
        <v>16</v>
      </c>
      <c r="E24" s="7" t="s">
        <v>19</v>
      </c>
      <c r="F24" s="7">
        <v>23</v>
      </c>
      <c r="G24">
        <v>5</v>
      </c>
    </row>
    <row r="25" spans="1:7" x14ac:dyDescent="0.25">
      <c r="A25" s="10">
        <v>45689</v>
      </c>
      <c r="B25" s="6" t="s">
        <v>25</v>
      </c>
      <c r="C25" s="6">
        <v>354</v>
      </c>
      <c r="D25" s="6" t="s">
        <v>16</v>
      </c>
      <c r="E25" s="6" t="s">
        <v>19</v>
      </c>
      <c r="F25" s="6">
        <v>33</v>
      </c>
      <c r="G25">
        <v>5</v>
      </c>
    </row>
    <row r="26" spans="1:7" x14ac:dyDescent="0.25">
      <c r="A26" s="11">
        <v>45689</v>
      </c>
      <c r="B26" s="7" t="s">
        <v>25</v>
      </c>
      <c r="C26" s="7">
        <v>354</v>
      </c>
      <c r="D26" s="7" t="s">
        <v>16</v>
      </c>
      <c r="E26" s="7" t="s">
        <v>19</v>
      </c>
      <c r="F26" s="7">
        <v>20</v>
      </c>
      <c r="G26">
        <v>5</v>
      </c>
    </row>
    <row r="27" spans="1:7" x14ac:dyDescent="0.25">
      <c r="A27" s="10">
        <v>45707</v>
      </c>
      <c r="B27" s="6" t="s">
        <v>32</v>
      </c>
      <c r="C27" s="6">
        <v>354</v>
      </c>
      <c r="D27" s="6" t="s">
        <v>16</v>
      </c>
      <c r="E27" s="6" t="s">
        <v>19</v>
      </c>
      <c r="F27" s="6">
        <v>23</v>
      </c>
      <c r="G27">
        <v>8</v>
      </c>
    </row>
    <row r="28" spans="1:7" x14ac:dyDescent="0.25">
      <c r="A28" s="11">
        <v>45707</v>
      </c>
      <c r="B28" s="7" t="s">
        <v>32</v>
      </c>
      <c r="C28" s="7">
        <v>354</v>
      </c>
      <c r="D28" s="7" t="s">
        <v>16</v>
      </c>
      <c r="E28" s="7" t="s">
        <v>19</v>
      </c>
      <c r="F28" s="7">
        <v>23</v>
      </c>
      <c r="G28">
        <v>8</v>
      </c>
    </row>
    <row r="29" spans="1:7" x14ac:dyDescent="0.25">
      <c r="A29" s="10">
        <v>45707</v>
      </c>
      <c r="B29" s="6" t="s">
        <v>32</v>
      </c>
      <c r="C29" s="6">
        <v>354</v>
      </c>
      <c r="D29" s="6" t="s">
        <v>16</v>
      </c>
      <c r="E29" s="6" t="s">
        <v>19</v>
      </c>
      <c r="F29" s="6">
        <v>234</v>
      </c>
      <c r="G29">
        <v>8</v>
      </c>
    </row>
    <row r="30" spans="1:7" x14ac:dyDescent="0.25">
      <c r="A30" s="11">
        <v>45707</v>
      </c>
      <c r="B30" s="7" t="s">
        <v>32</v>
      </c>
      <c r="C30" s="7">
        <v>354</v>
      </c>
      <c r="D30" s="7" t="s">
        <v>16</v>
      </c>
      <c r="E30" s="7" t="s">
        <v>19</v>
      </c>
      <c r="F30" s="7">
        <v>234</v>
      </c>
      <c r="G30">
        <v>8</v>
      </c>
    </row>
    <row r="31" spans="1:7" x14ac:dyDescent="0.25">
      <c r="A31" s="10">
        <v>45707</v>
      </c>
      <c r="B31" s="6" t="s">
        <v>32</v>
      </c>
      <c r="C31" s="6">
        <v>354</v>
      </c>
      <c r="D31" s="6" t="s">
        <v>16</v>
      </c>
      <c r="E31" s="6" t="s">
        <v>19</v>
      </c>
      <c r="F31" s="6">
        <v>10</v>
      </c>
      <c r="G31">
        <v>8</v>
      </c>
    </row>
    <row r="32" spans="1:7" x14ac:dyDescent="0.25">
      <c r="A32" s="11">
        <v>45708</v>
      </c>
      <c r="B32" s="7" t="s">
        <v>42</v>
      </c>
      <c r="C32" s="7">
        <v>354</v>
      </c>
      <c r="D32" s="7" t="s">
        <v>16</v>
      </c>
      <c r="E32" s="7" t="s">
        <v>19</v>
      </c>
      <c r="F32" s="7">
        <v>1234</v>
      </c>
      <c r="G32">
        <v>8</v>
      </c>
    </row>
    <row r="33" spans="1:7" x14ac:dyDescent="0.25">
      <c r="A33" s="10">
        <v>45708</v>
      </c>
      <c r="B33" s="6" t="s">
        <v>42</v>
      </c>
      <c r="C33" s="6">
        <v>354</v>
      </c>
      <c r="D33" s="6" t="s">
        <v>16</v>
      </c>
      <c r="E33" s="6" t="s">
        <v>19</v>
      </c>
      <c r="F33" s="6">
        <v>23</v>
      </c>
      <c r="G33">
        <v>8</v>
      </c>
    </row>
    <row r="34" spans="1:7" x14ac:dyDescent="0.25">
      <c r="A34" s="11">
        <v>45708</v>
      </c>
      <c r="B34" s="7" t="s">
        <v>42</v>
      </c>
      <c r="C34" s="7">
        <v>354</v>
      </c>
      <c r="D34" s="7" t="s">
        <v>16</v>
      </c>
      <c r="E34" s="7" t="s">
        <v>19</v>
      </c>
      <c r="F34" s="7">
        <v>1000000</v>
      </c>
      <c r="G34">
        <v>8</v>
      </c>
    </row>
    <row r="35" spans="1:7" x14ac:dyDescent="0.25">
      <c r="A35" s="10">
        <v>45708</v>
      </c>
      <c r="B35" s="6" t="s">
        <v>42</v>
      </c>
      <c r="C35" s="6">
        <v>354</v>
      </c>
      <c r="D35" s="6" t="s">
        <v>16</v>
      </c>
      <c r="E35" s="6" t="s">
        <v>19</v>
      </c>
      <c r="F35" s="6">
        <v>50</v>
      </c>
      <c r="G35">
        <v>8</v>
      </c>
    </row>
    <row r="36" spans="1:7" x14ac:dyDescent="0.25">
      <c r="A36" s="11">
        <v>45708</v>
      </c>
      <c r="B36" s="7" t="s">
        <v>42</v>
      </c>
      <c r="C36" s="7">
        <v>354</v>
      </c>
      <c r="D36" s="7" t="s">
        <v>16</v>
      </c>
      <c r="E36" s="7" t="s">
        <v>19</v>
      </c>
      <c r="F36" s="7">
        <v>50</v>
      </c>
      <c r="G36">
        <v>8</v>
      </c>
    </row>
    <row r="37" spans="1:7" x14ac:dyDescent="0.25">
      <c r="A37" s="10">
        <v>45708</v>
      </c>
      <c r="B37" s="6" t="s">
        <v>42</v>
      </c>
      <c r="C37" s="6">
        <v>354</v>
      </c>
      <c r="D37" s="6" t="s">
        <v>16</v>
      </c>
      <c r="E37" s="6" t="s">
        <v>19</v>
      </c>
      <c r="F37" s="6">
        <v>50</v>
      </c>
      <c r="G37">
        <v>8</v>
      </c>
    </row>
    <row r="38" spans="1:7" x14ac:dyDescent="0.25">
      <c r="A38" s="11">
        <v>45708</v>
      </c>
      <c r="B38" s="7" t="s">
        <v>42</v>
      </c>
      <c r="C38" s="7">
        <v>354</v>
      </c>
      <c r="D38" s="7" t="s">
        <v>16</v>
      </c>
      <c r="E38" s="7" t="s">
        <v>19</v>
      </c>
      <c r="F38" s="7">
        <v>50</v>
      </c>
      <c r="G38">
        <v>8</v>
      </c>
    </row>
    <row r="39" spans="1:7" x14ac:dyDescent="0.25">
      <c r="A39" s="10">
        <v>45708</v>
      </c>
      <c r="B39" s="6" t="s">
        <v>42</v>
      </c>
      <c r="C39" s="6">
        <v>354</v>
      </c>
      <c r="D39" s="6" t="s">
        <v>16</v>
      </c>
      <c r="E39" s="6" t="s">
        <v>19</v>
      </c>
      <c r="F39" s="6">
        <v>50</v>
      </c>
      <c r="G39">
        <v>8</v>
      </c>
    </row>
    <row r="40" spans="1:7" x14ac:dyDescent="0.25">
      <c r="A40" s="10">
        <v>45720</v>
      </c>
      <c r="B40" s="6" t="s">
        <v>23</v>
      </c>
      <c r="C40" s="6">
        <v>354</v>
      </c>
      <c r="D40" s="6" t="s">
        <v>16</v>
      </c>
      <c r="E40" s="6" t="s">
        <v>19</v>
      </c>
      <c r="F40" s="6">
        <v>19</v>
      </c>
      <c r="G40">
        <v>10</v>
      </c>
    </row>
    <row r="41" spans="1:7" x14ac:dyDescent="0.25">
      <c r="A41" s="11">
        <v>45751</v>
      </c>
      <c r="B41" s="7" t="s">
        <v>23</v>
      </c>
      <c r="C41" s="7">
        <v>7463734</v>
      </c>
      <c r="D41" s="7" t="s">
        <v>16</v>
      </c>
      <c r="E41" s="7" t="s">
        <v>6</v>
      </c>
      <c r="F41" s="7">
        <v>13</v>
      </c>
      <c r="G41">
        <v>14</v>
      </c>
    </row>
    <row r="42" spans="1:7" x14ac:dyDescent="0.25">
      <c r="A42" s="10">
        <v>45781</v>
      </c>
      <c r="B42" s="6" t="s">
        <v>23</v>
      </c>
      <c r="C42" s="6">
        <v>661971</v>
      </c>
      <c r="D42" s="6" t="s">
        <v>15</v>
      </c>
      <c r="E42" s="6" t="s">
        <v>7</v>
      </c>
      <c r="F42" s="6">
        <v>16</v>
      </c>
      <c r="G42">
        <v>19</v>
      </c>
    </row>
    <row r="43" spans="1:7" x14ac:dyDescent="0.25">
      <c r="A43" s="10">
        <v>45647</v>
      </c>
      <c r="B43" s="6" t="s">
        <v>24</v>
      </c>
      <c r="C43" s="6">
        <v>6478346234</v>
      </c>
      <c r="D43" s="6" t="s">
        <v>13</v>
      </c>
      <c r="E43" s="6" t="s">
        <v>6</v>
      </c>
      <c r="F43" s="6">
        <v>13</v>
      </c>
      <c r="G43">
        <v>51</v>
      </c>
    </row>
    <row r="44" spans="1:7" x14ac:dyDescent="0.25">
      <c r="A44" s="11">
        <v>45647</v>
      </c>
      <c r="B44" s="7" t="s">
        <v>24</v>
      </c>
      <c r="C44" s="7">
        <v>602615</v>
      </c>
      <c r="D44" s="7" t="s">
        <v>5</v>
      </c>
      <c r="E44" s="7" t="s">
        <v>6</v>
      </c>
      <c r="F44" s="7">
        <v>13</v>
      </c>
      <c r="G44">
        <v>51</v>
      </c>
    </row>
  </sheetData>
  <sortState xmlns:xlrd2="http://schemas.microsoft.com/office/spreadsheetml/2017/richdata2" ref="A2:G44">
    <sortCondition ref="G2:G44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C7ED9-7660-4C53-AC73-6407311EE20D}">
  <sheetPr codeName="Sheet4">
    <pageSetUpPr autoPageBreaks="0"/>
  </sheetPr>
  <dimension ref="B2:D13"/>
  <sheetViews>
    <sheetView showGridLines="0" zoomScaleNormal="100" workbookViewId="0">
      <selection activeCell="I14" sqref="I14"/>
    </sheetView>
  </sheetViews>
  <sheetFormatPr defaultRowHeight="15" x14ac:dyDescent="0.25"/>
  <cols>
    <col min="1" max="1" width="3.42578125" customWidth="1"/>
    <col min="2" max="2" width="20.42578125" style="1" customWidth="1"/>
    <col min="3" max="3" width="15.85546875" bestFit="1" customWidth="1"/>
    <col min="4" max="4" width="18" style="1" customWidth="1"/>
  </cols>
  <sheetData>
    <row r="2" spans="2:4" x14ac:dyDescent="0.25">
      <c r="B2" s="1" t="s">
        <v>9</v>
      </c>
      <c r="C2" s="1" t="s">
        <v>8</v>
      </c>
      <c r="D2" s="1" t="s">
        <v>10</v>
      </c>
    </row>
    <row r="3" spans="2:4" x14ac:dyDescent="0.25">
      <c r="B3" s="1">
        <v>454232</v>
      </c>
      <c r="C3" t="s">
        <v>1</v>
      </c>
      <c r="D3" s="1" t="s">
        <v>2</v>
      </c>
    </row>
    <row r="4" spans="2:4" x14ac:dyDescent="0.25">
      <c r="B4" s="1">
        <v>23456</v>
      </c>
      <c r="C4" t="s">
        <v>3</v>
      </c>
      <c r="D4" s="1" t="s">
        <v>4</v>
      </c>
    </row>
    <row r="5" spans="2:4" x14ac:dyDescent="0.25">
      <c r="B5" s="1">
        <v>602615</v>
      </c>
      <c r="C5" t="s">
        <v>5</v>
      </c>
      <c r="D5" s="1" t="s">
        <v>6</v>
      </c>
    </row>
    <row r="6" spans="2:4" x14ac:dyDescent="0.25">
      <c r="B6" s="1">
        <v>661971</v>
      </c>
      <c r="C6" t="s">
        <v>15</v>
      </c>
      <c r="D6" s="1" t="s">
        <v>7</v>
      </c>
    </row>
    <row r="7" spans="2:4" x14ac:dyDescent="0.25">
      <c r="B7" s="1">
        <v>63553</v>
      </c>
      <c r="C7" t="s">
        <v>14</v>
      </c>
      <c r="D7" s="1" t="s">
        <v>17</v>
      </c>
    </row>
    <row r="8" spans="2:4" x14ac:dyDescent="0.25">
      <c r="B8" s="1">
        <v>647876</v>
      </c>
      <c r="C8" t="s">
        <v>13</v>
      </c>
      <c r="D8" s="1" t="s">
        <v>6</v>
      </c>
    </row>
    <row r="9" spans="2:4" x14ac:dyDescent="0.25">
      <c r="B9" s="1">
        <v>7463734</v>
      </c>
      <c r="C9" t="s">
        <v>16</v>
      </c>
      <c r="D9" s="1" t="s">
        <v>6</v>
      </c>
    </row>
    <row r="10" spans="2:4" x14ac:dyDescent="0.25">
      <c r="B10" s="1">
        <v>76487</v>
      </c>
      <c r="C10" t="s">
        <v>1</v>
      </c>
      <c r="D10" s="1" t="s">
        <v>18</v>
      </c>
    </row>
    <row r="11" spans="2:4" x14ac:dyDescent="0.25">
      <c r="B11" s="1">
        <v>354</v>
      </c>
      <c r="C11" t="s">
        <v>16</v>
      </c>
      <c r="D11" s="1" t="s">
        <v>19</v>
      </c>
    </row>
    <row r="12" spans="2:4" x14ac:dyDescent="0.25">
      <c r="B12" s="1">
        <v>23456</v>
      </c>
      <c r="C12" t="s">
        <v>5</v>
      </c>
      <c r="D12" s="1" t="s">
        <v>6</v>
      </c>
    </row>
    <row r="13" spans="2:4" x14ac:dyDescent="0.25">
      <c r="B13" s="1">
        <v>7864</v>
      </c>
      <c r="C13" t="s">
        <v>1</v>
      </c>
      <c r="D13" s="1" t="s">
        <v>22</v>
      </c>
    </row>
  </sheetData>
  <pageMargins left="0.7" right="0.7" top="0.75" bottom="0.75" header="0.3" footer="0.3"/>
  <pageSetup orientation="portrait" horizontalDpi="0" verticalDpi="0" r:id="rId1"/>
  <headerFooter>
    <oddHeader>&amp;LBB
&amp;CB&amp;RB</oddHeader>
  </headerFooter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D21BB4-133F-4598-8C45-167C856DE77E}">
  <sheetPr codeName="Sheet12"/>
  <dimension ref="A1:G4"/>
  <sheetViews>
    <sheetView workbookViewId="0">
      <selection activeCell="A2" sqref="A2:G4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45675</v>
      </c>
      <c r="B2" s="6" t="s">
        <v>20</v>
      </c>
      <c r="C2" s="6">
        <v>63553</v>
      </c>
      <c r="D2" s="6" t="s">
        <v>14</v>
      </c>
      <c r="E2" s="6" t="s">
        <v>17</v>
      </c>
      <c r="F2" s="6">
        <v>45</v>
      </c>
      <c r="G2">
        <v>3</v>
      </c>
    </row>
    <row r="3" spans="1:7" x14ac:dyDescent="0.25">
      <c r="A3" s="11">
        <v>45708</v>
      </c>
      <c r="B3" s="7" t="s">
        <v>42</v>
      </c>
      <c r="C3" s="7">
        <v>354</v>
      </c>
      <c r="D3" s="7" t="s">
        <v>16</v>
      </c>
      <c r="E3" s="7" t="s">
        <v>19</v>
      </c>
      <c r="F3" s="7">
        <v>50</v>
      </c>
      <c r="G3">
        <v>8</v>
      </c>
    </row>
    <row r="4" spans="1:7" x14ac:dyDescent="0.25">
      <c r="A4" s="10">
        <v>45708</v>
      </c>
      <c r="B4" s="6" t="s">
        <v>42</v>
      </c>
      <c r="C4" s="6">
        <v>354</v>
      </c>
      <c r="D4" s="6" t="s">
        <v>16</v>
      </c>
      <c r="E4" s="6" t="s">
        <v>19</v>
      </c>
      <c r="F4" s="6">
        <v>50</v>
      </c>
      <c r="G4">
        <v>8</v>
      </c>
    </row>
  </sheetData>
  <sortState xmlns:xlrd2="http://schemas.microsoft.com/office/spreadsheetml/2017/richdata2" ref="A2:G4">
    <sortCondition ref="G2:G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5F4E8-C501-4B10-BA4C-FD3061390640}">
  <dimension ref="A1:G5"/>
  <sheetViews>
    <sheetView workbookViewId="0">
      <selection activeCell="A2" sqref="A2:G5"/>
    </sheetView>
  </sheetViews>
  <sheetFormatPr defaultRowHeight="15" x14ac:dyDescent="0.25"/>
  <sheetData>
    <row r="1" spans="1:7" ht="15.75" thickBot="1" x14ac:dyDescent="0.3">
      <c r="A1" s="5" t="s">
        <v>0</v>
      </c>
      <c r="B1" s="5" t="s">
        <v>11</v>
      </c>
      <c r="C1" s="5" t="s">
        <v>9</v>
      </c>
      <c r="D1" s="5" t="s">
        <v>8</v>
      </c>
      <c r="E1" s="5" t="s">
        <v>10</v>
      </c>
      <c r="F1" s="5" t="s">
        <v>12</v>
      </c>
      <c r="G1" s="13" t="s">
        <v>31</v>
      </c>
    </row>
    <row r="2" spans="1:7" x14ac:dyDescent="0.25">
      <c r="A2" s="10">
        <v>45675</v>
      </c>
      <c r="B2" s="6" t="s">
        <v>20</v>
      </c>
      <c r="C2" s="6">
        <v>63553</v>
      </c>
      <c r="D2" s="6" t="s">
        <v>14</v>
      </c>
      <c r="E2" s="6" t="s">
        <v>17</v>
      </c>
      <c r="F2" s="6">
        <v>45</v>
      </c>
      <c r="G2">
        <v>3</v>
      </c>
    </row>
    <row r="3" spans="1:7" x14ac:dyDescent="0.25">
      <c r="A3" s="11">
        <v>45708</v>
      </c>
      <c r="B3" s="7" t="s">
        <v>42</v>
      </c>
      <c r="C3" s="7">
        <v>354</v>
      </c>
      <c r="D3" s="7" t="s">
        <v>16</v>
      </c>
      <c r="E3" s="7" t="s">
        <v>19</v>
      </c>
      <c r="F3" s="7">
        <v>50</v>
      </c>
      <c r="G3">
        <v>8</v>
      </c>
    </row>
    <row r="4" spans="1:7" x14ac:dyDescent="0.25">
      <c r="A4" s="10">
        <v>45708</v>
      </c>
      <c r="B4" s="6" t="s">
        <v>42</v>
      </c>
      <c r="C4" s="6">
        <v>354</v>
      </c>
      <c r="D4" s="6" t="s">
        <v>16</v>
      </c>
      <c r="E4" s="6" t="s">
        <v>19</v>
      </c>
      <c r="F4" s="6">
        <v>50</v>
      </c>
      <c r="G4">
        <v>8</v>
      </c>
    </row>
    <row r="5" spans="1:7" x14ac:dyDescent="0.25">
      <c r="A5" s="11">
        <v>45742</v>
      </c>
      <c r="B5" s="7" t="s">
        <v>43</v>
      </c>
      <c r="C5" s="7">
        <v>354</v>
      </c>
      <c r="D5" s="7" t="s">
        <v>16</v>
      </c>
      <c r="E5" s="7" t="s">
        <v>19</v>
      </c>
      <c r="F5" s="7">
        <v>50</v>
      </c>
      <c r="G5">
        <v>13</v>
      </c>
    </row>
  </sheetData>
  <sortState xmlns:xlrd2="http://schemas.microsoft.com/office/spreadsheetml/2017/richdata2" ref="A2:G5">
    <sortCondition ref="G2:G5"/>
  </sortState>
  <pageMargins left="0.7" right="0.7" top="0.75" bottom="0.75" header="0.3" footer="0.3"/>
  <pageSetup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26791-E5C7-455A-881E-948FBC917965}">
  <sheetPr codeName="Sheet7"/>
  <dimension ref="A1:F15"/>
  <sheetViews>
    <sheetView showGridLines="0" workbookViewId="0">
      <selection activeCell="I11" sqref="I11"/>
    </sheetView>
  </sheetViews>
  <sheetFormatPr defaultRowHeight="15" x14ac:dyDescent="0.25"/>
  <cols>
    <col min="1" max="1" width="13.42578125" bestFit="1" customWidth="1"/>
    <col min="2" max="2" width="24.140625" bestFit="1" customWidth="1"/>
    <col min="3" max="3" width="16" bestFit="1" customWidth="1"/>
    <col min="4" max="4" width="12.85546875" bestFit="1" customWidth="1"/>
    <col min="5" max="5" width="14" bestFit="1" customWidth="1"/>
    <col min="6" max="6" width="19.42578125" bestFit="1" customWidth="1"/>
  </cols>
  <sheetData>
    <row r="1" spans="1:6" ht="15.75" x14ac:dyDescent="0.25">
      <c r="A1" s="31" t="s">
        <v>40</v>
      </c>
      <c r="B1" s="32"/>
      <c r="C1" s="32"/>
      <c r="D1" s="32"/>
      <c r="E1" s="32"/>
      <c r="F1" s="32"/>
    </row>
    <row r="2" spans="1:6" x14ac:dyDescent="0.25">
      <c r="A2" s="15" t="s">
        <v>33</v>
      </c>
      <c r="B2" s="15" t="s">
        <v>34</v>
      </c>
      <c r="C2" s="15" t="s">
        <v>35</v>
      </c>
      <c r="D2" s="15" t="s">
        <v>36</v>
      </c>
      <c r="E2" s="15" t="s">
        <v>37</v>
      </c>
      <c r="F2" s="15" t="s">
        <v>38</v>
      </c>
    </row>
    <row r="3" spans="1:6" x14ac:dyDescent="0.25">
      <c r="A3" s="17">
        <v>45675</v>
      </c>
      <c r="B3" s="16" t="s">
        <v>20</v>
      </c>
      <c r="C3" s="16">
        <v>63553</v>
      </c>
      <c r="D3" s="16" t="s">
        <v>14</v>
      </c>
      <c r="E3" s="16" t="s">
        <v>17</v>
      </c>
      <c r="F3" s="18">
        <v>45</v>
      </c>
    </row>
    <row r="4" spans="1:6" x14ac:dyDescent="0.25">
      <c r="A4" s="15" t="s">
        <v>39</v>
      </c>
      <c r="B4" s="15"/>
      <c r="C4" s="15"/>
      <c r="D4" s="15"/>
      <c r="E4" s="15"/>
      <c r="F4" s="19">
        <v>45</v>
      </c>
    </row>
    <row r="5" spans="1:6" x14ac:dyDescent="0.25">
      <c r="A5" s="16"/>
      <c r="B5" s="16"/>
      <c r="C5" s="16"/>
      <c r="D5" s="16"/>
      <c r="E5" s="16"/>
      <c r="F5" s="16"/>
    </row>
    <row r="6" spans="1:6" ht="15.75" x14ac:dyDescent="0.25">
      <c r="A6" s="29" t="s">
        <v>41</v>
      </c>
      <c r="B6" s="30"/>
      <c r="C6" s="30"/>
      <c r="D6" s="30"/>
      <c r="E6" s="30"/>
      <c r="F6" s="30"/>
    </row>
    <row r="7" spans="1:6" x14ac:dyDescent="0.25">
      <c r="A7" s="15" t="s">
        <v>33</v>
      </c>
      <c r="B7" s="15" t="s">
        <v>34</v>
      </c>
      <c r="C7" s="15" t="s">
        <v>35</v>
      </c>
      <c r="D7" s="15" t="s">
        <v>36</v>
      </c>
      <c r="E7" s="15" t="s">
        <v>37</v>
      </c>
      <c r="F7" s="15" t="s">
        <v>38</v>
      </c>
    </row>
    <row r="8" spans="1:6" x14ac:dyDescent="0.25">
      <c r="A8" s="17">
        <v>45708</v>
      </c>
      <c r="B8" s="16" t="s">
        <v>42</v>
      </c>
      <c r="C8" s="16">
        <v>354</v>
      </c>
      <c r="D8" s="16" t="s">
        <v>16</v>
      </c>
      <c r="E8" s="16" t="s">
        <v>19</v>
      </c>
      <c r="F8" s="18">
        <v>50</v>
      </c>
    </row>
    <row r="9" spans="1:6" x14ac:dyDescent="0.25">
      <c r="A9" s="17">
        <v>45708</v>
      </c>
      <c r="B9" s="16" t="s">
        <v>42</v>
      </c>
      <c r="C9" s="16">
        <v>354</v>
      </c>
      <c r="D9" s="16" t="s">
        <v>16</v>
      </c>
      <c r="E9" s="16" t="s">
        <v>19</v>
      </c>
      <c r="F9" s="18">
        <v>50</v>
      </c>
    </row>
    <row r="10" spans="1:6" x14ac:dyDescent="0.25">
      <c r="A10" s="15" t="s">
        <v>39</v>
      </c>
      <c r="B10" s="15"/>
      <c r="C10" s="15"/>
      <c r="D10" s="15"/>
      <c r="E10" s="15"/>
      <c r="F10" s="19">
        <v>100</v>
      </c>
    </row>
    <row r="11" spans="1:6" x14ac:dyDescent="0.25">
      <c r="A11" s="16"/>
      <c r="B11" s="16"/>
      <c r="C11" s="16"/>
      <c r="D11" s="16"/>
      <c r="E11" s="16"/>
      <c r="F11" s="16"/>
    </row>
    <row r="12" spans="1:6" ht="15.75" x14ac:dyDescent="0.25">
      <c r="A12" s="29" t="s">
        <v>44</v>
      </c>
      <c r="B12" s="30"/>
      <c r="C12" s="30"/>
      <c r="D12" s="30"/>
      <c r="E12" s="30"/>
      <c r="F12" s="30"/>
    </row>
    <row r="13" spans="1:6" x14ac:dyDescent="0.25">
      <c r="A13" s="15" t="s">
        <v>33</v>
      </c>
      <c r="B13" s="15" t="s">
        <v>34</v>
      </c>
      <c r="C13" s="15" t="s">
        <v>35</v>
      </c>
      <c r="D13" s="15" t="s">
        <v>36</v>
      </c>
      <c r="E13" s="15" t="s">
        <v>37</v>
      </c>
      <c r="F13" s="15" t="s">
        <v>38</v>
      </c>
    </row>
    <row r="14" spans="1:6" x14ac:dyDescent="0.25">
      <c r="A14" s="17">
        <v>45742</v>
      </c>
      <c r="B14" s="16" t="s">
        <v>43</v>
      </c>
      <c r="C14" s="16">
        <v>354</v>
      </c>
      <c r="D14" s="16" t="s">
        <v>16</v>
      </c>
      <c r="E14" s="16" t="s">
        <v>19</v>
      </c>
      <c r="F14" s="18">
        <v>50</v>
      </c>
    </row>
    <row r="15" spans="1:6" x14ac:dyDescent="0.25">
      <c r="A15" s="20" t="s">
        <v>39</v>
      </c>
      <c r="B15" s="20"/>
      <c r="C15" s="20"/>
      <c r="D15" s="20"/>
      <c r="E15" s="20"/>
      <c r="F15" s="21">
        <v>50</v>
      </c>
    </row>
  </sheetData>
  <mergeCells count="3">
    <mergeCell ref="A6:F6"/>
    <mergeCell ref="A1:F1"/>
    <mergeCell ref="A12:F12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14</vt:i4>
      </vt:variant>
    </vt:vector>
  </HeadingPairs>
  <TitlesOfParts>
    <vt:vector size="19" baseType="lpstr">
      <vt:lpstr>DASHBOARD</vt:lpstr>
      <vt:lpstr>DATA ENTRY</vt:lpstr>
      <vt:lpstr>DATA</vt:lpstr>
      <vt:lpstr>ACCOUNTS</vt:lpstr>
      <vt:lpstr>SUMMARY</vt:lpstr>
      <vt:lpstr>ACCNUMBER</vt:lpstr>
      <vt:lpstr>account_name</vt:lpstr>
      <vt:lpstr>account_number</vt:lpstr>
      <vt:lpstr>account_profit</vt:lpstr>
      <vt:lpstr>ACCOUNTS</vt:lpstr>
      <vt:lpstr>broker</vt:lpstr>
      <vt:lpstr>data_accname</vt:lpstr>
      <vt:lpstr>data_accnumber</vt:lpstr>
      <vt:lpstr>data_broker</vt:lpstr>
      <vt:lpstr>data_date</vt:lpstr>
      <vt:lpstr>data_profit</vt:lpstr>
      <vt:lpstr>data_weekrange</vt:lpstr>
      <vt:lpstr>today</vt:lpstr>
      <vt:lpstr>week_range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BONGA</dc:creator>
  <cp:lastModifiedBy>George_ Bonga</cp:lastModifiedBy>
  <dcterms:created xsi:type="dcterms:W3CDTF">2015-06-05T18:17:20Z</dcterms:created>
  <dcterms:modified xsi:type="dcterms:W3CDTF">2025-01-29T13:26:06Z</dcterms:modified>
</cp:coreProperties>
</file>